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 Manager" sheetId="1" r:id="rId5"/>
    <sheet state="visible" name="Dashboard" sheetId="2" r:id="rId6"/>
    <sheet state="visible" name="Master Menu" sheetId="3" r:id="rId7"/>
    <sheet state="visible" name="Log Pengeluaran" sheetId="4" r:id="rId8"/>
    <sheet state="visible" name="Buku Kasir" sheetId="5" r:id="rId9"/>
    <sheet state="visible" name="Drop Data Kasir" sheetId="6" r:id="rId10"/>
    <sheet state="visible" name="Log Pemasukan" sheetId="7" r:id="rId11"/>
    <sheet state="visible" name="Master Karyawan" sheetId="8" r:id="rId12"/>
    <sheet state="hidden" name="Calc_Data" sheetId="9" r:id="rId13"/>
    <sheet state="visible" name="Log Laporan Insiden" sheetId="10" r:id="rId14"/>
    <sheet state="visible" name="TARIF SEWA GEDUNG DIANTARA" sheetId="11" r:id="rId15"/>
    <sheet state="visible" name="Laporan Tutup Buku" sheetId="12" r:id="rId16"/>
    <sheet state="visible" name="Arsip Pengeluaran" sheetId="13" r:id="rId17"/>
    <sheet state="visible" name="Arsip Kasir" sheetId="14" r:id="rId18"/>
    <sheet state="visible" name="Log Tutup Buku" sheetId="15" r:id="rId19"/>
    <sheet state="hidden" name="Analisis Menu Engineering" sheetId="16" r:id="rId20"/>
  </sheets>
  <definedNames>
    <definedName hidden="1" localSheetId="3" name="_xlnm._FilterDatabase">'Log Pengeluaran'!$B$4:$F$3000</definedName>
    <definedName hidden="1" localSheetId="12" name="_xlnm._FilterDatabase">'Arsip Pengeluaran'!$A$1:$E$934</definedName>
  </definedNames>
  <calcPr/>
</workbook>
</file>

<file path=xl/sharedStrings.xml><?xml version="1.0" encoding="utf-8"?>
<sst xmlns="http://schemas.openxmlformats.org/spreadsheetml/2006/main" count="7357" uniqueCount="470">
  <si>
    <t>Log Pengeluaran (Uang Keluar)</t>
  </si>
  <si>
    <t>Pilih Kategori</t>
  </si>
  <si>
    <t>Total Pengeluaran</t>
  </si>
  <si>
    <t>Tanggal</t>
  </si>
  <si>
    <t>Kategori</t>
  </si>
  <si>
    <t>Keterangan</t>
  </si>
  <si>
    <t>Nominal</t>
  </si>
  <si>
    <t>Bukti Nota</t>
  </si>
  <si>
    <t>Master Menu &amp; COGS</t>
  </si>
  <si>
    <t>Nama Menu</t>
  </si>
  <si>
    <t>Harga Jual</t>
  </si>
  <si>
    <t>Modal (COGS)</t>
  </si>
  <si>
    <t>Laba per Porsi</t>
  </si>
  <si>
    <t>Margin Laba</t>
  </si>
  <si>
    <t>Sexy Lady</t>
  </si>
  <si>
    <t>Gaji</t>
  </si>
  <si>
    <t>Party Plate</t>
  </si>
  <si>
    <t>Gala, Randy, Adi, Anto</t>
  </si>
  <si>
    <t>Latte Ice</t>
  </si>
  <si>
    <t>Habib</t>
  </si>
  <si>
    <t>Nasi Goreng Kara</t>
  </si>
  <si>
    <t>Mie Yabi</t>
  </si>
  <si>
    <t>Bahan Baku</t>
  </si>
  <si>
    <t>selada</t>
  </si>
  <si>
    <t>Sour tea</t>
  </si>
  <si>
    <t>americano</t>
  </si>
  <si>
    <t>Latte</t>
  </si>
  <si>
    <t>Operasional</t>
  </si>
  <si>
    <t>Nastar Frappe</t>
  </si>
  <si>
    <t>cup</t>
  </si>
  <si>
    <t>Teh puncak Jamus</t>
  </si>
  <si>
    <t xml:space="preserve">susu diamond </t>
  </si>
  <si>
    <t>Air mineral besar</t>
  </si>
  <si>
    <t xml:space="preserve">ketang crinkle </t>
  </si>
  <si>
    <t>Teh Belanda</t>
  </si>
  <si>
    <t xml:space="preserve">Ayam karage </t>
  </si>
  <si>
    <t>kopi tier 1,2,3</t>
  </si>
  <si>
    <t>Sunny Beach</t>
  </si>
  <si>
    <t xml:space="preserve">token listrik </t>
  </si>
  <si>
    <t>Air mineral</t>
  </si>
  <si>
    <t>Lain-lain</t>
  </si>
  <si>
    <t xml:space="preserve">skop ice cream </t>
  </si>
  <si>
    <t xml:space="preserve">Marjan strobery </t>
  </si>
  <si>
    <t>Kopi Nenek</t>
  </si>
  <si>
    <t xml:space="preserve">selai strobery </t>
  </si>
  <si>
    <t xml:space="preserve">bayar tukang </t>
  </si>
  <si>
    <t>Wedang uwuh Ngawi</t>
  </si>
  <si>
    <t>prive</t>
  </si>
  <si>
    <t>kasbon</t>
  </si>
  <si>
    <t>Curly Fries</t>
  </si>
  <si>
    <t>Pemasaran</t>
  </si>
  <si>
    <t xml:space="preserve">marketing </t>
  </si>
  <si>
    <t>Hongkong Soft Tale</t>
  </si>
  <si>
    <t>nugget</t>
  </si>
  <si>
    <t>sawi</t>
  </si>
  <si>
    <t>Jong Java</t>
  </si>
  <si>
    <t>gas elpiji</t>
  </si>
  <si>
    <t>jiwater</t>
  </si>
  <si>
    <t>Wi Hel Mina Dream</t>
  </si>
  <si>
    <t>Pretty Queen</t>
  </si>
  <si>
    <t>sosis</t>
  </si>
  <si>
    <t>token listrik</t>
  </si>
  <si>
    <t>Tela goreng</t>
  </si>
  <si>
    <t xml:space="preserve">bawang merah </t>
  </si>
  <si>
    <t>Singkong goreng</t>
  </si>
  <si>
    <t>Tier 1 V60</t>
  </si>
  <si>
    <t>lemon</t>
  </si>
  <si>
    <t>Tier 2 V60</t>
  </si>
  <si>
    <t>telur</t>
  </si>
  <si>
    <t>Tier 3 V60</t>
  </si>
  <si>
    <t>timun</t>
  </si>
  <si>
    <t>Red Light District</t>
  </si>
  <si>
    <t xml:space="preserve">ladaku </t>
  </si>
  <si>
    <t>Espresso</t>
  </si>
  <si>
    <t>lpg</t>
  </si>
  <si>
    <t>beras</t>
  </si>
  <si>
    <t>Chun Matcha</t>
  </si>
  <si>
    <t>tepung jempol</t>
  </si>
  <si>
    <t>TOTAL OMZET</t>
  </si>
  <si>
    <t>es batu</t>
  </si>
  <si>
    <t xml:space="preserve">telur </t>
  </si>
  <si>
    <t>LABA BERSIH OPERASIONAL</t>
  </si>
  <si>
    <t xml:space="preserve">singkong </t>
  </si>
  <si>
    <t>PRIVE SUDAH DIAMBIL</t>
  </si>
  <si>
    <t>KUOTA PRIVE AMAN (KAS BEBAS)</t>
  </si>
  <si>
    <t xml:space="preserve">kresek sampah </t>
  </si>
  <si>
    <t>saus pedas jerigen</t>
  </si>
  <si>
    <t xml:space="preserve">selai blueberry </t>
  </si>
  <si>
    <t>chiken karage</t>
  </si>
  <si>
    <t>Natie Matcha</t>
  </si>
  <si>
    <t>ji water</t>
  </si>
  <si>
    <t>seledri</t>
  </si>
  <si>
    <t>Pure Chocolade</t>
  </si>
  <si>
    <t>galon cleo</t>
  </si>
  <si>
    <t>Claudio (Vanilla)</t>
  </si>
  <si>
    <t>ladaku</t>
  </si>
  <si>
    <t>Ivada (Stroberi)</t>
  </si>
  <si>
    <t>bawang merah</t>
  </si>
  <si>
    <t>Vicenzo (Coklat)</t>
  </si>
  <si>
    <t>kapulaga</t>
  </si>
  <si>
    <t>Akumulasi Penjualan Kafe</t>
  </si>
  <si>
    <t>Capri ijz (Campur)</t>
  </si>
  <si>
    <t>Laba Murni Sebelum Prive</t>
  </si>
  <si>
    <t>bunga lawang</t>
  </si>
  <si>
    <t>Total Penarikan Pribadi</t>
  </si>
  <si>
    <t>Sweety hazy</t>
  </si>
  <si>
    <t>Estimasi Kas Bebas Siap Tarik</t>
  </si>
  <si>
    <t>kresek 250gr</t>
  </si>
  <si>
    <t>Cikalopi</t>
  </si>
  <si>
    <t>selai nanas</t>
  </si>
  <si>
    <t xml:space="preserve">selai stroberi </t>
  </si>
  <si>
    <t>Cappucino</t>
  </si>
  <si>
    <t>Indikator Rasio</t>
  </si>
  <si>
    <t>Aubergine Crunch</t>
  </si>
  <si>
    <t>blueband</t>
  </si>
  <si>
    <t>Rasio Aktual</t>
  </si>
  <si>
    <t>Target Benchmark</t>
  </si>
  <si>
    <t>sunco 5 l</t>
  </si>
  <si>
    <t>Special Barista</t>
  </si>
  <si>
    <t>Status Kesehatan</t>
  </si>
  <si>
    <t>susu diamon</t>
  </si>
  <si>
    <t>Interpretasi &amp; Rekomendasi</t>
  </si>
  <si>
    <t>Tela Landa</t>
  </si>
  <si>
    <t>thermal paper</t>
  </si>
  <si>
    <t>Kopi Kakek</t>
  </si>
  <si>
    <t>COGS Ratio (Bahan Baku)</t>
  </si>
  <si>
    <t>masako rt</t>
  </si>
  <si>
    <t>28.0% - 35.0%</t>
  </si>
  <si>
    <t>susu diamond</t>
  </si>
  <si>
    <t>kaki naga</t>
  </si>
  <si>
    <t>katering</t>
  </si>
  <si>
    <t>Materai</t>
  </si>
  <si>
    <t>HPP bahan baku terkendali di bawah batas maksimum 35%</t>
  </si>
  <si>
    <t>kentang cringkle</t>
  </si>
  <si>
    <t>Mas riyan</t>
  </si>
  <si>
    <t>Labor / Gaji Ratio</t>
  </si>
  <si>
    <t>15.0% - 20.0%</t>
  </si>
  <si>
    <t xml:space="preserve">singkong Frozen </t>
  </si>
  <si>
    <t>Beban gaji karyawan proporsional dan efisien terhadap omzet</t>
  </si>
  <si>
    <t>ayam karage</t>
  </si>
  <si>
    <t>Net Profit Margin</t>
  </si>
  <si>
    <t>co kopi kakek dan tier 3</t>
  </si>
  <si>
    <t>air isi ulang dan cleo</t>
  </si>
  <si>
    <t>20.0% - 35.0%</t>
  </si>
  <si>
    <t xml:space="preserve">timun </t>
  </si>
  <si>
    <t>Laba bersih operasional prima, ruang aman untuk prive pemilik</t>
  </si>
  <si>
    <t>bubuk coklat</t>
  </si>
  <si>
    <t>RINGKASAN ARUS KAS &amp; CADANGAN WAJIB (OWNER DRAWING CALCULATOR)</t>
  </si>
  <si>
    <t>Komponen Arus Kas &amp; Cadangan Wajib</t>
  </si>
  <si>
    <t>Nominal Alokasi</t>
  </si>
  <si>
    <t>Klasifikasi</t>
  </si>
  <si>
    <t>Keterangan &amp; Kebijakan Likuiditas</t>
  </si>
  <si>
    <t>Estimasi Kas Masuk Bersih (Omzet Kafe)</t>
  </si>
  <si>
    <t>TARGET BULANAN</t>
  </si>
  <si>
    <t>REALISASI OMZET (MTD)</t>
  </si>
  <si>
    <t>Kas Masuk</t>
  </si>
  <si>
    <t>Total penerimaan kas operasional dari penjualan kafe</t>
  </si>
  <si>
    <t>% CAPAIAN TARGET</t>
  </si>
  <si>
    <t>SISA TARGET</t>
  </si>
  <si>
    <t>Alokasi Cadangan Belanja Stok Bahan Baku</t>
  </si>
  <si>
    <t>TOTAL PORSI / CUP</t>
  </si>
  <si>
    <t>KONTROL STRATEGI MENU (MENU ENGINEERING)</t>
  </si>
  <si>
    <t>Cadangan Wajib</t>
  </si>
  <si>
    <t>Rekap belanja bahan baku yang dialokasikan untuk perputaran persediaan</t>
  </si>
  <si>
    <t>Alokasi Cadangan Gaji Karyawan Berikutnya</t>
  </si>
  <si>
    <t>Omzet Harian</t>
  </si>
  <si>
    <t>Qty Terjual</t>
  </si>
  <si>
    <t>Disisihkan penuh untuk kepastian pembayaran hak karyawan &amp; barista</t>
  </si>
  <si>
    <t>Penarikan Prive Pemilik (Sudah Ditarik)</t>
  </si>
  <si>
    <t>Penarikan Pribadi</t>
  </si>
  <si>
    <t>Akumulasi dana yang telah ditarik pemilik pada periode berjalan</t>
  </si>
  <si>
    <t>Sisa Kas Bersih Pemilik Siap Ditarik</t>
  </si>
  <si>
    <t>Total Pendapatan</t>
  </si>
  <si>
    <t>Kas Bebas Aman</t>
  </si>
  <si>
    <t>Maksimum dana aman ditarik ke rekening pribadi tanpa ganggu operasional</t>
  </si>
  <si>
    <t>⭐ STAR</t>
  </si>
  <si>
    <t>🧩 PUZZLE</t>
  </si>
  <si>
    <t>Status Likuiditas &amp; Rekomendasi Penarikan</t>
  </si>
  <si>
    <t>🐎 WORKHORSE</t>
  </si>
  <si>
    <t>🐕 DOG</t>
  </si>
  <si>
    <t>Rekomendasi</t>
  </si>
  <si>
    <t>Target Toko Rp 60 Jt</t>
  </si>
  <si>
    <t>Periode Berjalan (Siklus Tgl 7-6)</t>
  </si>
  <si>
    <t>Pencapaian vs Target</t>
  </si>
  <si>
    <t>Kekurangan Omzet Toko</t>
  </si>
  <si>
    <t>Volume Penjualan MTD</t>
  </si>
  <si>
    <t>Margin Tinggi • Laris</t>
  </si>
  <si>
    <t>Margin Tinggi • Sepi</t>
  </si>
  <si>
    <t>Margin Rendah • Laris</t>
  </si>
  <si>
    <t>Margin Rendah • Sepi</t>
  </si>
  <si>
    <t>MISI UPSELLING KASIR &amp; BARISTA HARI INI</t>
  </si>
  <si>
    <t>MENU PANTAUAN TAKARAN &amp; PORSI (WORKHORSE)</t>
  </si>
  <si>
    <t>Target Harian Rata-rata</t>
  </si>
  <si>
    <t>Omzet Harian Terakhir</t>
  </si>
  <si>
    <t>% Pencapaian Harian</t>
  </si>
  <si>
    <t>Gap / Selisih</t>
  </si>
  <si>
    <t>Status Harian</t>
  </si>
  <si>
    <t>Wajib ditawarkan kasir sebagai menu rekomendasi utama</t>
  </si>
  <si>
    <t>Margin tipis tapi laris, pastikan gramasi bahan baku tidak over-portioning</t>
  </si>
  <si>
    <t>Total Kotor</t>
  </si>
  <si>
    <t>Nama Menu Rekomendasi</t>
  </si>
  <si>
    <t>Kuadran</t>
  </si>
  <si>
    <t>Nama Menu Workhorse</t>
  </si>
  <si>
    <t>Porsi Terjual</t>
  </si>
  <si>
    <t>Dasar: Rp 60 Jt / 30 Hari</t>
  </si>
  <si>
    <t>Realisasi vs Target Harian</t>
  </si>
  <si>
    <t>Selisih vs Target Rp 2 Jt</t>
  </si>
  <si>
    <t>No</t>
  </si>
  <si>
    <t>Nama Menu Terlaris (Tanggal Terakhir)</t>
  </si>
  <si>
    <t>Harga Satuan</t>
  </si>
  <si>
    <t>Total Omzet Menu</t>
  </si>
  <si>
    <t>Nama Karyawan</t>
  </si>
  <si>
    <t>Kategori Laporan</t>
  </si>
  <si>
    <t>Deskripsi Kejadian</t>
  </si>
  <si>
    <t>Tindakan / Sanksi</t>
  </si>
  <si>
    <t>Pendapatan Bersih</t>
  </si>
  <si>
    <t>MENU EVALUASI / SLOW-MOVING (DOG)</t>
  </si>
  <si>
    <t>Penjualan di bawah benchmark, evaluasi resep atau ganti menu</t>
  </si>
  <si>
    <t>Nama Menu Dog</t>
  </si>
  <si>
    <t>7-13 rekap</t>
  </si>
  <si>
    <t>Qty</t>
  </si>
  <si>
    <t>Capri ijz (campur)</t>
  </si>
  <si>
    <t>Chun matcha</t>
  </si>
  <si>
    <t>Nasi goreng kara + telur</t>
  </si>
  <si>
    <t>Pure chocolade</t>
  </si>
  <si>
    <t>Natie matcha</t>
  </si>
  <si>
    <t>Claudio (vanilla)</t>
  </si>
  <si>
    <t>Vicenzo (coklat)</t>
  </si>
  <si>
    <t>Tela landa</t>
  </si>
  <si>
    <t>Special barista</t>
  </si>
  <si>
    <t>Log Pemasukan</t>
  </si>
  <si>
    <t>Sewa Tempat</t>
  </si>
  <si>
    <t>Dp Xl</t>
  </si>
  <si>
    <t>Rumah Inggris - Sewa dan Makan</t>
  </si>
  <si>
    <t>Pelunasan XL</t>
  </si>
  <si>
    <t xml:space="preserve">
</t>
  </si>
  <si>
    <t>ID Karyawan</t>
  </si>
  <si>
    <t>Posisi</t>
  </si>
  <si>
    <t>randy</t>
  </si>
  <si>
    <t>anto</t>
  </si>
  <si>
    <t>gala</t>
  </si>
  <si>
    <t>kukuh</t>
  </si>
  <si>
    <t>adi</t>
  </si>
  <si>
    <t>Pendapatan Harian</t>
  </si>
  <si>
    <t>COGS Harian</t>
  </si>
  <si>
    <t>Pengeluaran Harian</t>
  </si>
  <si>
    <t>Laba Bersih Harian</t>
  </si>
  <si>
    <t>Bulan</t>
  </si>
  <si>
    <t>Pendapatan Bulanan</t>
  </si>
  <si>
    <t>COGS Bulanan</t>
  </si>
  <si>
    <t>Pengeluaran Bulanan</t>
  </si>
  <si>
    <t>Laba Bersih Bulanan</t>
  </si>
  <si>
    <t>Pendapatan Bersih Bulanan</t>
  </si>
  <si>
    <t>Kategori Non-Operasional</t>
  </si>
  <si>
    <t>Total Pengeluaran Kas</t>
  </si>
  <si>
    <t>Total OMSET</t>
  </si>
  <si>
    <t>Tindakan/Sanksi</t>
  </si>
  <si>
    <t>08-23-2026</t>
  </si>
  <si>
    <t>Pelanggaran SOP</t>
  </si>
  <si>
    <t>tidak mengikuti arahan</t>
  </si>
  <si>
    <t>sp1</t>
  </si>
  <si>
    <t>lalai</t>
  </si>
  <si>
    <t>Sp1</t>
  </si>
  <si>
    <t>08-31-2026</t>
  </si>
  <si>
    <t>listrik tidak di cek</t>
  </si>
  <si>
    <t>sp2</t>
  </si>
  <si>
    <t>Belanja Kas Bahan Baku</t>
  </si>
  <si>
    <t>Keterlambatan</t>
  </si>
  <si>
    <t xml:space="preserve">sering terlambat </t>
  </si>
  <si>
    <t>Total Laba Bersih</t>
  </si>
  <si>
    <t>2026-08 (Tgl 7-6)</t>
  </si>
  <si>
    <t>Penarikan Prive Pemilik</t>
  </si>
  <si>
    <t>Total Pendapatan Bersih</t>
  </si>
  <si>
    <t>Total COGS</t>
  </si>
  <si>
    <t>Total Belanja Kas Bahan Baku</t>
  </si>
  <si>
    <t>Total Penarikan Prive Pemilik</t>
  </si>
  <si>
    <t>2026-09 (Tgl 7-6)</t>
  </si>
  <si>
    <t/>
  </si>
  <si>
    <t xml:space="preserve">PAKET 2 JAM </t>
  </si>
  <si>
    <t>200K</t>
  </si>
  <si>
    <t>- Tanpa Meja dan Kursi</t>
  </si>
  <si>
    <t>- Listrik untuk AC &amp; Lampu terpasang</t>
  </si>
  <si>
    <t>300K</t>
  </si>
  <si>
    <t>- Termasuk 8 Meja dan 25 Kursi ( Max )</t>
  </si>
  <si>
    <t>LAIN - LAIN</t>
  </si>
  <si>
    <t>- Kelebihan Waktu per Jam</t>
  </si>
  <si>
    <t>150 K</t>
  </si>
  <si>
    <t>- Tambahan perlengkapan</t>
  </si>
  <si>
    <t>per item</t>
  </si>
  <si>
    <t xml:space="preserve">- Charge makan dan minum dari luar </t>
  </si>
  <si>
    <t>25% dar harga sewa</t>
  </si>
  <si>
    <t>- Membawa alat musik / band</t>
  </si>
  <si>
    <t>100 K</t>
  </si>
  <si>
    <t>- Tambahan listrik melebihi kapasitas</t>
  </si>
  <si>
    <t xml:space="preserve">tambah daya PLN </t>
  </si>
  <si>
    <t>CATATAN</t>
  </si>
  <si>
    <t>- Hari Besar Dikenakan Harga Khusus</t>
  </si>
  <si>
    <t>PANDUAN TUTUP BUKU (Rutin setiap tanggal 7 di semua bulan): 1. Ubah Bulan/Tahun. 2. Pindahkan data bulan lalu dari 'Log Pengeluaran' dan 'Drop Data Kasir' ke sheet Arsip. 3. Hapus data bulan lalu dari sheet aslinya.</t>
  </si>
  <si>
    <t>Laba Bersih</t>
  </si>
  <si>
    <t>Tahun</t>
  </si>
  <si>
    <t>Periode Mulai</t>
  </si>
  <si>
    <t>Periode Selesai</t>
  </si>
  <si>
    <t>Pendapatan</t>
  </si>
  <si>
    <t>COGS</t>
  </si>
  <si>
    <t>Pengeluaran</t>
  </si>
  <si>
    <t>TRACKER PENGELUARAN PER KATEGORI</t>
  </si>
  <si>
    <t>Ice Cream Coklat</t>
  </si>
  <si>
    <t>Capri ijz</t>
  </si>
  <si>
    <t>Vicenzo</t>
  </si>
  <si>
    <t xml:space="preserve">ice cream strawberry </t>
  </si>
  <si>
    <t xml:space="preserve">ice cream vanilla </t>
  </si>
  <si>
    <t>Kopi kakek</t>
  </si>
  <si>
    <t>Jumlah Transaksi</t>
  </si>
  <si>
    <t>LOG TUTUP BUKU</t>
  </si>
  <si>
    <t>TOTAL PENDAPATAN</t>
  </si>
  <si>
    <t>Claudio</t>
  </si>
  <si>
    <t>TOTAL PENGELUARAN</t>
  </si>
  <si>
    <t>Rata-rata / Transaksi</t>
  </si>
  <si>
    <t>AKUMULASI LABA BERSIH</t>
  </si>
  <si>
    <t>HVEN Space • Riwayat Penutupan Buku</t>
  </si>
  <si>
    <t>susu uht diamond</t>
  </si>
  <si>
    <t>Porsi dari Total</t>
  </si>
  <si>
    <t>Total Seluruh Arsip</t>
  </si>
  <si>
    <t>Ivada (stroberi)</t>
  </si>
  <si>
    <t>Periode Terarsip</t>
  </si>
  <si>
    <t>sirup marjan nanas</t>
  </si>
  <si>
    <t>Akumulasi omzet</t>
  </si>
  <si>
    <t>Akumulasi beban operasional</t>
  </si>
  <si>
    <t>sirup marjan orange</t>
  </si>
  <si>
    <t>Total laba/rugi bersih</t>
  </si>
  <si>
    <t>Periode</t>
  </si>
  <si>
    <t>Status</t>
  </si>
  <si>
    <t>Tanggal Tutup Buku</t>
  </si>
  <si>
    <t>Penanggung Jawab</t>
  </si>
  <si>
    <t>Catatan</t>
  </si>
  <si>
    <t xml:space="preserve">sirup marjan stroberi </t>
  </si>
  <si>
    <t>Selesai</t>
  </si>
  <si>
    <t>jeruk nipis</t>
  </si>
  <si>
    <t>Admin HVEN</t>
  </si>
  <si>
    <t>Tutup buku operasional periode 7 Agustus – 7 September 2026 selesai &amp; terarsip pada 7 September 2026</t>
  </si>
  <si>
    <t>alat tukang</t>
  </si>
  <si>
    <t>uang makan</t>
  </si>
  <si>
    <t>semprotan kecil</t>
  </si>
  <si>
    <t>sub con</t>
  </si>
  <si>
    <t>Dalam Proses</t>
  </si>
  <si>
    <t>-</t>
  </si>
  <si>
    <t>Tutup buku operasional periode 7 September – 7 Oktober 2026 dalam proses (jadwal penutupan: 7 Oktober 2026)</t>
  </si>
  <si>
    <t xml:space="preserve">spidol warna </t>
  </si>
  <si>
    <t>Total</t>
  </si>
  <si>
    <t>live musik</t>
  </si>
  <si>
    <t>nugget frozen</t>
  </si>
  <si>
    <t>sirup monin blue lagoon</t>
  </si>
  <si>
    <t>minyak goreng</t>
  </si>
  <si>
    <t xml:space="preserve">baterai </t>
  </si>
  <si>
    <t xml:space="preserve">Singkong goreng </t>
  </si>
  <si>
    <t xml:space="preserve">mayonaise </t>
  </si>
  <si>
    <t>mie</t>
  </si>
  <si>
    <t>air isi ulang</t>
  </si>
  <si>
    <t>obat nyamuk</t>
  </si>
  <si>
    <t>gaji OB</t>
  </si>
  <si>
    <t xml:space="preserve">matcha ceremonial </t>
  </si>
  <si>
    <t>alat keramik matcha</t>
  </si>
  <si>
    <t xml:space="preserve">homdab chocolate powder </t>
  </si>
  <si>
    <t>toples kecil</t>
  </si>
  <si>
    <t>kertas thermal</t>
  </si>
  <si>
    <t>ANALISIS MENU ENGINEERING - HVEN SPACE</t>
  </si>
  <si>
    <t>air cleo</t>
  </si>
  <si>
    <t>capcut pro</t>
  </si>
  <si>
    <t>Beban Listrik</t>
  </si>
  <si>
    <t>Matriks Kasavana &amp; Smith / Boston Consulting Group (BCG) untuk Evaluasi Menu Kafe</t>
  </si>
  <si>
    <t xml:space="preserve">selai jelly blueberry </t>
  </si>
  <si>
    <t>TOTAL MENU TERANALISIS</t>
  </si>
  <si>
    <t>teapot 800ml</t>
  </si>
  <si>
    <t>BENCHMARK MARGIN LABA</t>
  </si>
  <si>
    <t>BENCHMARK VOLUME TERJUAL</t>
  </si>
  <si>
    <t>TOTAL UNIT TERJUAL</t>
  </si>
  <si>
    <t xml:space="preserve">susu uht diamond </t>
  </si>
  <si>
    <t>TOTAL OMSET MENU</t>
  </si>
  <si>
    <t>sedotan hitam steril</t>
  </si>
  <si>
    <t xml:space="preserve">plastik </t>
  </si>
  <si>
    <t>singkong polos</t>
  </si>
  <si>
    <t>minyak goreng 5L</t>
  </si>
  <si>
    <t xml:space="preserve">es batu </t>
  </si>
  <si>
    <t>telur 1kg</t>
  </si>
  <si>
    <t>RINGKASAN KUADRAN:</t>
  </si>
  <si>
    <t>⭐ Star (Margin Tinggi &amp; Laris)</t>
  </si>
  <si>
    <t>kasbon habib</t>
  </si>
  <si>
    <t>Coklat, Matcha</t>
  </si>
  <si>
    <t>🐎 Workhorse (Margin Rendah &amp; Laris)</t>
  </si>
  <si>
    <t>Tier 1, 2, 3</t>
  </si>
  <si>
    <t>🧩 Puzzle (Margin Tinggi &amp; Sepi)</t>
  </si>
  <si>
    <t>🐕 Dog (Margin Rendah &amp; Sepi)</t>
  </si>
  <si>
    <t>Margin Laba (%)</t>
  </si>
  <si>
    <t>Terjual (Qty)</t>
  </si>
  <si>
    <t>Total Omset</t>
  </si>
  <si>
    <t>Total Laba Kotor</t>
  </si>
  <si>
    <t>Klasifikasi Kuadran</t>
  </si>
  <si>
    <t>Rekomendasi Strategi</t>
  </si>
  <si>
    <t>masako ayam</t>
  </si>
  <si>
    <t>royco sapi</t>
  </si>
  <si>
    <t>buncis</t>
  </si>
  <si>
    <t xml:space="preserve">selai strawberry </t>
  </si>
  <si>
    <t>sirup marjan lemon</t>
  </si>
  <si>
    <t>sosis sapi akai</t>
  </si>
  <si>
    <t>gula stick</t>
  </si>
  <si>
    <t>air galon cleo</t>
  </si>
  <si>
    <t>Nasgor buah buah dll nenek</t>
  </si>
  <si>
    <t>Sate dan kerang</t>
  </si>
  <si>
    <t>Colokan ln</t>
  </si>
  <si>
    <t>arabika beans 2kg</t>
  </si>
  <si>
    <t>goodjob</t>
  </si>
  <si>
    <t>sapu ijuk</t>
  </si>
  <si>
    <t>sewa proyektor dan layar</t>
  </si>
  <si>
    <t>tisue</t>
  </si>
  <si>
    <t>cup 500pcs</t>
  </si>
  <si>
    <t xml:space="preserve">seledri </t>
  </si>
  <si>
    <t>wika</t>
  </si>
  <si>
    <t>bubuk ladaku</t>
  </si>
  <si>
    <t>garpu kecil</t>
  </si>
  <si>
    <t>jeruk peras</t>
  </si>
  <si>
    <t>batre</t>
  </si>
  <si>
    <t>sirup monin rose</t>
  </si>
  <si>
    <t xml:space="preserve">air mineral ji water </t>
  </si>
  <si>
    <t>kertas termal kasir</t>
  </si>
  <si>
    <t>beras sphp</t>
  </si>
  <si>
    <t xml:space="preserve">lombok </t>
  </si>
  <si>
    <t xml:space="preserve">sosis Frozen </t>
  </si>
  <si>
    <t xml:space="preserve">cup </t>
  </si>
  <si>
    <t>kembang lawang</t>
  </si>
  <si>
    <t>cabe kriting</t>
  </si>
  <si>
    <t>taffware</t>
  </si>
  <si>
    <t>margarin</t>
  </si>
  <si>
    <t>tusuk gigi</t>
  </si>
  <si>
    <t>kantong kresek</t>
  </si>
  <si>
    <t>trash bag</t>
  </si>
  <si>
    <t xml:space="preserve">kentang crinkle </t>
  </si>
  <si>
    <t xml:space="preserve">minyak goreng </t>
  </si>
  <si>
    <t>spons</t>
  </si>
  <si>
    <t>bawang goreng</t>
  </si>
  <si>
    <t>Keuntungan XL</t>
  </si>
  <si>
    <t>Video</t>
  </si>
  <si>
    <t>susu</t>
  </si>
  <si>
    <t>uang bensin</t>
  </si>
  <si>
    <t>sirup nanas</t>
  </si>
  <si>
    <t>sirup orange</t>
  </si>
  <si>
    <t xml:space="preserve">print brosur </t>
  </si>
  <si>
    <t>tisu</t>
  </si>
  <si>
    <t>Operasional Sistem</t>
  </si>
  <si>
    <t>Pelunasan Sistem Celestial Creative</t>
  </si>
  <si>
    <t>DP Sistem Celestial Creative</t>
  </si>
  <si>
    <t>straw</t>
  </si>
  <si>
    <t xml:space="preserve">cup dan tutup </t>
  </si>
  <si>
    <t>wipol</t>
  </si>
  <si>
    <t xml:space="preserve">sunlight </t>
  </si>
  <si>
    <t>bawang merah dan putih</t>
  </si>
  <si>
    <t xml:space="preserve">kapulaga </t>
  </si>
  <si>
    <t>bawang</t>
  </si>
  <si>
    <t>sirup Marjan lemon</t>
  </si>
  <si>
    <t>co matcha dan beans arabica</t>
  </si>
  <si>
    <t>Transfer Pribadi</t>
  </si>
  <si>
    <t>Prive Remitt</t>
  </si>
  <si>
    <t>GrabFood Personal</t>
  </si>
  <si>
    <t>ATMO Estate Coffee</t>
  </si>
  <si>
    <t>Top Up GoPay Pribadi</t>
  </si>
  <si>
    <t>Belanja TO.MM &amp; Ilufa</t>
  </si>
  <si>
    <t>Heroes Gym</t>
  </si>
  <si>
    <t>Kedai Tjuan &amp; AM PM</t>
  </si>
  <si>
    <t>Pulsa Telkomsel</t>
  </si>
  <si>
    <t>Bayar Kos Pribadi</t>
  </si>
  <si>
    <t>Total / Rata-rata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</si>
</sst>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[$Rp-id-ID]#,##0"/>
    <numFmt numFmtId="165" formatCode="0.0%"/>
    <numFmt numFmtId="166" formatCode="&quot;Rp&quot;#,##0"/>
    <numFmt numFmtId="167" formatCode="yyyy-mm-dd"/>
    <numFmt numFmtId="168" formatCode="#,##0 &quot;Porsi&quot;"/>
    <numFmt numFmtId="169" formatCode="&quot;Rp&quot;#,##0;(&quot;Rp&quot;#,##0);&quot;-&quot;"/>
    <numFmt numFmtId="170" formatCode="yyyy-mm"/>
    <numFmt numFmtId="171" formatCode="[$Rp-id-ID] #,##0"/>
    <numFmt numFmtId="172" formatCode="&quot;Rp&quot;#,##0;(&quot;Rp&quot;#,##0);&quot;Rp&quot;0"/>
    <numFmt numFmtId="173" formatCode="mmmm yyyy"/>
  </numFmts>
  <fonts count="89">
    <font>
      <sz val="10.0"/>
      <color rgb="FF000000"/>
      <name val="Arial"/>
      <scheme val="minor"/>
    </font>
    <font>
      <b/>
      <sz val="16.0"/>
      <color rgb="FF8A4F24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b/>
      <sz val="9.0"/>
      <color rgb="FF593F2D"/>
      <name val="Google Sans"/>
    </font>
    <font/>
    <font>
      <color theme="1"/>
      <name val="Roboto"/>
    </font>
    <font>
      <b/>
      <sz val="14.0"/>
      <color rgb="FF211914"/>
      <name val="Google Sans"/>
    </font>
    <font>
      <i/>
      <sz val="8.0"/>
      <color rgb="FF726659"/>
      <name val="Roboto"/>
    </font>
    <font>
      <b/>
      <sz val="9.0"/>
      <color rgb="FFFFFFFF"/>
      <name val="Google Sans"/>
    </font>
    <font>
      <b/>
      <sz val="9.0"/>
      <color rgb="FF261E19"/>
      <name val="Google Sans"/>
    </font>
    <font>
      <b/>
      <sz val="10.0"/>
      <color theme="1"/>
      <name val="Google Sans"/>
    </font>
    <font>
      <sz val="9.0"/>
      <color rgb="FF594C3F"/>
      <name val="Roboto"/>
    </font>
    <font>
      <b/>
      <sz val="8.0"/>
      <color rgb="FF197226"/>
      <name val="Google Sans"/>
    </font>
    <font>
      <sz val="8.0"/>
      <color rgb="FF4C3F33"/>
      <name val="Roboto"/>
    </font>
    <font>
      <b/>
      <sz val="18.0"/>
      <color rgb="FF895021"/>
      <name val="Google Sans"/>
    </font>
    <font>
      <b/>
      <sz val="10.0"/>
      <color rgb="FFFFFFFF"/>
      <name val="Google Sans"/>
    </font>
    <font>
      <b/>
      <sz val="9.0"/>
      <color rgb="FF5B412E"/>
      <name val="Google Sans"/>
    </font>
    <font>
      <sz val="9.0"/>
      <color rgb="FF261E19"/>
      <name val="Google Sans"/>
    </font>
    <font>
      <b/>
      <sz val="9.0"/>
      <color rgb="FF583E2C"/>
      <name val="Google Sans"/>
    </font>
    <font>
      <b/>
      <sz val="9.0"/>
      <color rgb="FF261E19"/>
      <name val="Roboto"/>
    </font>
    <font>
      <sz val="8.0"/>
      <color rgb="FF66594C"/>
      <name val="Roboto"/>
    </font>
    <font>
      <sz val="8.0"/>
      <color rgb="FF594C3F"/>
      <name val="Roboto"/>
    </font>
    <font>
      <b/>
      <sz val="8.0"/>
      <color rgb="FF666666"/>
      <name val="Google Sans"/>
    </font>
    <font>
      <b/>
      <sz val="14.0"/>
      <color rgb="FF201813"/>
      <name val="Google Sans"/>
    </font>
    <font>
      <b/>
      <sz val="10.0"/>
      <color rgb="FF14661E"/>
      <name val="Google Sans"/>
    </font>
    <font>
      <b/>
      <sz val="8.0"/>
      <color rgb="FF14661E"/>
      <name val="Google Sans"/>
    </font>
    <font>
      <sz val="8.0"/>
      <color rgb="FF14661E"/>
      <name val="Roboto"/>
    </font>
    <font>
      <b/>
      <sz val="9.0"/>
      <color rgb="FF1B4D1F"/>
      <name val="Google Sans"/>
    </font>
    <font>
      <b/>
      <sz val="9.0"/>
      <color rgb="FF154E62"/>
      <name val="Google Sans"/>
    </font>
    <font>
      <b/>
      <sz val="9.0"/>
      <color rgb="FF332619"/>
      <name val="Google Sans"/>
    </font>
    <font>
      <b/>
      <sz val="9.0"/>
      <color rgb="FF854D0E"/>
      <name val="Google Sans"/>
    </font>
    <font>
      <b/>
      <sz val="9.0"/>
      <color rgb="FF991B1B"/>
      <name val="Google Sans"/>
    </font>
    <font>
      <b/>
      <sz val="9.0"/>
      <color rgb="FF197226"/>
      <name val="Google Sans"/>
    </font>
    <font>
      <sz val="8.0"/>
      <color theme="1"/>
      <name val="Roboto"/>
    </font>
    <font>
      <i/>
      <sz val="8.0"/>
      <color rgb="FF594C3F"/>
      <name val="Roboto"/>
    </font>
    <font>
      <i/>
      <sz val="8.0"/>
      <color rgb="FF716658"/>
      <name val="Roboto"/>
    </font>
    <font>
      <b/>
      <sz val="14.0"/>
      <color rgb="FF1B4D1F"/>
      <name val="Google Sans"/>
    </font>
    <font>
      <b/>
      <sz val="14.0"/>
      <color rgb="FF154E62"/>
      <name val="Google Sans"/>
    </font>
    <font>
      <b/>
      <sz val="14.0"/>
      <color rgb="FF854D0E"/>
      <name val="Google Sans"/>
    </font>
    <font>
      <b/>
      <sz val="14.0"/>
      <color rgb="FF991B1B"/>
      <name val="Google Sans"/>
    </font>
    <font>
      <i/>
      <sz val="8.0"/>
      <color rgb="FF38663D"/>
      <name val="Roboto"/>
    </font>
    <font>
      <i/>
      <sz val="8.0"/>
      <color rgb="FF336B87"/>
      <name val="Roboto"/>
    </font>
    <font>
      <i/>
      <sz val="8.0"/>
      <color rgb="FF703E12"/>
      <name val="Roboto"/>
    </font>
    <font>
      <i/>
      <sz val="8.0"/>
      <color rgb="FF7E1D1D"/>
      <name val="Roboto"/>
    </font>
    <font>
      <i/>
      <sz val="8.0"/>
      <color rgb="FF5A3920"/>
      <name val="Roboto"/>
    </font>
    <font>
      <b/>
      <sz val="11.0"/>
      <color rgb="FF201813"/>
      <name val="Google Sans"/>
    </font>
    <font>
      <b/>
      <sz val="10.0"/>
      <color rgb="FFB61B1B"/>
      <name val="Google Sans"/>
    </font>
    <font>
      <sz val="9.0"/>
      <color rgb="FF211A14"/>
      <name val="Google Sans"/>
    </font>
    <font>
      <b/>
      <sz val="9.0"/>
      <color rgb="FF14803C"/>
      <name val="Google Sans"/>
    </font>
    <font>
      <sz val="9.0"/>
      <color theme="1"/>
      <name val="Google Sans"/>
    </font>
    <font>
      <b/>
      <sz val="9.0"/>
      <color theme="1"/>
      <name val="Google Sans"/>
    </font>
    <font>
      <b/>
      <sz val="9.0"/>
      <color rgb="FF0369A0"/>
      <name val="Google Sans"/>
    </font>
    <font>
      <b/>
      <sz val="9.0"/>
      <color rgb="FFB61B1B"/>
      <name val="Google Sans"/>
    </font>
    <font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b/>
      <sz val="14.0"/>
      <color theme="1"/>
      <name val="Arial"/>
      <scheme val="minor"/>
    </font>
    <font>
      <b/>
      <sz val="11.0"/>
      <color rgb="FFFFFFFF"/>
      <name val="Google Sans"/>
    </font>
    <font>
      <b/>
      <sz val="10.0"/>
      <color rgb="FFFFFFFF"/>
      <name val="Arial"/>
      <scheme val="minor"/>
    </font>
    <font>
      <b/>
      <sz val="10.0"/>
      <color theme="1"/>
      <name val="Arial"/>
      <scheme val="minor"/>
    </font>
    <font>
      <sz val="10.0"/>
      <color theme="1"/>
      <name val="Arial"/>
      <scheme val="minor"/>
    </font>
    <font>
      <b/>
      <sz val="16.0"/>
      <color rgb="FF1E2D60"/>
      <name val="Arial"/>
      <scheme val="minor"/>
    </font>
    <font>
      <b/>
      <sz val="9.0"/>
      <color rgb="FF2D3D6D"/>
      <name val="Arial"/>
      <scheme val="minor"/>
    </font>
    <font>
      <b/>
      <sz val="9.0"/>
      <color rgb="FF7B1B33"/>
      <name val="Arial"/>
      <scheme val="minor"/>
    </font>
    <font>
      <b/>
      <sz val="9.0"/>
      <color rgb="FF0E5333"/>
      <name val="Arial"/>
      <scheme val="minor"/>
    </font>
    <font>
      <i/>
      <sz val="10.0"/>
      <color rgb="FF666B7A"/>
      <name val="Arial"/>
      <scheme val="minor"/>
    </font>
    <font>
      <b/>
      <sz val="13.0"/>
      <color rgb="FF191C21"/>
      <name val="Arial"/>
      <scheme val="minor"/>
    </font>
    <font>
      <i/>
      <sz val="9.0"/>
      <color theme="1"/>
      <name val="Arial"/>
      <scheme val="minor"/>
    </font>
    <font>
      <b/>
      <sz val="9.0"/>
      <color rgb="FF4C5160"/>
      <name val="Arial"/>
      <scheme val="minor"/>
    </font>
    <font>
      <b/>
      <sz val="9.0"/>
      <color rgb="FF1E2D60"/>
      <name val="Arial"/>
      <scheme val="minor"/>
    </font>
    <font>
      <sz val="8.0"/>
      <color rgb="FF767680"/>
      <name val="Arial"/>
      <scheme val="minor"/>
    </font>
    <font>
      <b/>
      <sz val="15.0"/>
      <color rgb="FF492B11"/>
      <name val="Arial"/>
      <scheme val="minor"/>
    </font>
    <font>
      <i/>
      <sz val="10.0"/>
      <color rgb="FF666666"/>
      <name val="Arial"/>
      <scheme val="minor"/>
    </font>
    <font>
      <b/>
      <sz val="9.0"/>
      <color rgb="FF894F23"/>
      <name val="Arial"/>
      <scheme val="minor"/>
    </font>
    <font>
      <b/>
      <sz val="9.0"/>
      <color rgb="FF2D7C33"/>
      <name val="Arial"/>
      <scheme val="minor"/>
    </font>
    <font>
      <b/>
      <sz val="9.0"/>
      <color rgb="FF1966D1"/>
      <name val="Arial"/>
      <scheme val="minor"/>
    </font>
    <font>
      <b/>
      <sz val="9.0"/>
      <color rgb="FFAF6000"/>
      <name val="Arial"/>
      <scheme val="minor"/>
    </font>
    <font>
      <b/>
      <sz val="9.0"/>
      <color rgb="FF681CA8"/>
      <name val="Arial"/>
      <scheme val="minor"/>
    </font>
    <font>
      <b/>
      <sz val="16.0"/>
      <color rgb="FF492B11"/>
      <name val="Arial"/>
      <scheme val="minor"/>
    </font>
    <font>
      <b/>
      <sz val="16.0"/>
      <color rgb="FF1C5E21"/>
      <name val="Arial"/>
      <scheme val="minor"/>
    </font>
    <font>
      <b/>
      <sz val="16.0"/>
      <color rgb="FF0C3FA5"/>
      <name val="Arial"/>
      <scheme val="minor"/>
    </font>
    <font>
      <b/>
      <sz val="16.0"/>
      <color rgb="FF7A4200"/>
      <name val="Arial"/>
      <scheme val="minor"/>
    </font>
    <font>
      <b/>
      <sz val="15.0"/>
      <color rgb="FF49148C"/>
      <name val="Arial"/>
      <scheme val="minor"/>
    </font>
    <font>
      <b/>
      <sz val="9.0"/>
      <color rgb="FF117233"/>
      <name val="Arial"/>
      <scheme val="minor"/>
    </font>
    <font>
      <b/>
      <sz val="9.0"/>
      <color rgb="FF1972E8"/>
      <name val="Arial"/>
      <scheme val="minor"/>
    </font>
    <font>
      <b/>
      <sz val="9.0"/>
      <color rgb="FFC4211E"/>
      <name val="Arial"/>
      <scheme val="minor"/>
    </font>
    <font>
      <sz val="9.0"/>
      <color theme="1"/>
      <name val="Arial"/>
      <scheme val="minor"/>
    </font>
  </fonts>
  <fills count="51">
    <fill>
      <patternFill patternType="none"/>
    </fill>
    <fill>
      <patternFill patternType="lightGray"/>
    </fill>
    <fill>
      <patternFill patternType="solid">
        <fgColor rgb="FF8A4F24"/>
        <bgColor rgb="FF8A4F24"/>
      </patternFill>
    </fill>
    <fill>
      <patternFill patternType="solid">
        <fgColor rgb="FFFFF8F5"/>
        <bgColor rgb="FFFFF8F5"/>
      </patternFill>
    </fill>
    <fill>
      <patternFill patternType="solid">
        <fgColor rgb="FFFFFFFF"/>
        <bgColor rgb="FFFFFFFF"/>
      </patternFill>
    </fill>
    <fill>
      <patternFill patternType="solid">
        <fgColor rgb="FFF9F4EF"/>
        <bgColor rgb="FFF9F4EF"/>
      </patternFill>
    </fill>
    <fill>
      <patternFill patternType="solid">
        <fgColor rgb="FFFFF2EA"/>
        <bgColor rgb="FFFFF2EA"/>
      </patternFill>
    </fill>
    <fill>
      <patternFill patternType="solid">
        <fgColor rgb="FFEAF4E8"/>
        <bgColor rgb="FFEAF4E8"/>
      </patternFill>
    </fill>
    <fill>
      <patternFill patternType="solid">
        <fgColor rgb="FF885020"/>
        <bgColor rgb="FF885020"/>
      </patternFill>
    </fill>
    <fill>
      <patternFill patternType="solid">
        <fgColor rgb="FFFFDCC5"/>
        <bgColor rgb="FFFFDCC5"/>
      </patternFill>
    </fill>
    <fill>
      <patternFill patternType="solid">
        <fgColor rgb="FFFFF1E9"/>
        <bgColor rgb="FFFFF1E9"/>
      </patternFill>
    </fill>
    <fill>
      <patternFill patternType="solid">
        <fgColor rgb="FFE9F4E7"/>
        <bgColor rgb="FFE9F4E7"/>
      </patternFill>
    </fill>
    <fill>
      <patternFill patternType="solid">
        <fgColor rgb="FF874F20"/>
        <bgColor rgb="FF874F20"/>
      </patternFill>
    </fill>
    <fill>
      <patternFill patternType="solid">
        <fgColor rgb="FFEDEDED"/>
        <bgColor rgb="FFEDEDED"/>
      </patternFill>
    </fill>
    <fill>
      <patternFill patternType="solid">
        <fgColor rgb="FFE0F4E0"/>
        <bgColor rgb="FFE0F4E0"/>
      </patternFill>
    </fill>
    <fill>
      <patternFill patternType="solid">
        <fgColor rgb="FFF3F8F0"/>
        <bgColor rgb="FFF3F8F0"/>
      </patternFill>
    </fill>
    <fill>
      <patternFill patternType="solid">
        <fgColor rgb="FFEFF8FF"/>
        <bgColor rgb="FFEFF8FF"/>
      </patternFill>
    </fill>
    <fill>
      <patternFill patternType="solid">
        <fgColor rgb="FFFDFBE8"/>
        <bgColor rgb="FFFDFBE8"/>
      </patternFill>
    </fill>
    <fill>
      <patternFill patternType="solid">
        <fgColor rgb="FFFDF1F1"/>
        <bgColor rgb="FFFDF1F1"/>
      </patternFill>
    </fill>
    <fill>
      <patternFill patternType="solid">
        <fgColor rgb="FF6D3A13"/>
        <bgColor rgb="FF6D3A13"/>
      </patternFill>
    </fill>
    <fill>
      <patternFill patternType="solid">
        <fgColor rgb="FF854D0E"/>
        <bgColor rgb="FF854D0E"/>
      </patternFill>
    </fill>
    <fill>
      <patternFill patternType="solid">
        <fgColor rgb="FFF9F3ED"/>
        <bgColor rgb="FFF9F3ED"/>
      </patternFill>
    </fill>
    <fill>
      <patternFill patternType="solid">
        <fgColor rgb="FFFFF7F5"/>
        <bgColor rgb="FFFFF7F5"/>
      </patternFill>
    </fill>
    <fill>
      <patternFill patternType="solid">
        <fgColor rgb="FFA06106"/>
        <bgColor rgb="FFA06106"/>
      </patternFill>
    </fill>
    <fill>
      <patternFill patternType="solid">
        <fgColor rgb="FFEFFCF4"/>
        <bgColor rgb="FFEFFCF4"/>
      </patternFill>
    </fill>
    <fill>
      <patternFill patternType="solid">
        <fgColor rgb="FF991B1B"/>
        <bgColor rgb="FF991B1B"/>
      </patternFill>
    </fill>
    <fill>
      <patternFill patternType="solid">
        <fgColor rgb="FFB81C1C"/>
        <bgColor rgb="FFB81C1C"/>
      </patternFill>
    </fill>
    <fill>
      <patternFill patternType="solid">
        <fgColor rgb="FFF2F2F2"/>
        <bgColor rgb="FFF2F2F2"/>
      </patternFill>
    </fill>
    <fill>
      <patternFill patternType="solid">
        <fgColor rgb="FFCCCCCC"/>
        <bgColor rgb="FFCCCCCC"/>
      </patternFill>
    </fill>
    <fill>
      <patternFill patternType="solid">
        <fgColor rgb="FF333333"/>
        <bgColor rgb="FF333333"/>
      </patternFill>
    </fill>
    <fill>
      <patternFill patternType="solid">
        <fgColor rgb="FF895021"/>
        <bgColor rgb="FF895021"/>
      </patternFill>
    </fill>
    <fill>
      <patternFill patternType="solid">
        <fgColor rgb="FFE5E5E5"/>
        <bgColor rgb="FFE5E5E5"/>
      </patternFill>
    </fill>
    <fill>
      <patternFill patternType="solid">
        <fgColor rgb="FF894F23"/>
        <bgColor rgb="FF894F23"/>
      </patternFill>
    </fill>
    <fill>
      <patternFill patternType="solid">
        <fgColor rgb="FFF6F1EB"/>
        <bgColor rgb="FFF6F1EB"/>
      </patternFill>
    </fill>
    <fill>
      <patternFill patternType="solid">
        <fgColor rgb="FFFBF9F6"/>
        <bgColor rgb="FFFBF9F6"/>
      </patternFill>
    </fill>
    <fill>
      <patternFill patternType="solid">
        <fgColor rgb="FFDEE0F8"/>
        <bgColor rgb="FFDEE0F8"/>
      </patternFill>
    </fill>
    <fill>
      <patternFill patternType="solid">
        <fgColor rgb="FFFFEBEF"/>
        <bgColor rgb="FFFFEBEF"/>
      </patternFill>
    </fill>
    <fill>
      <patternFill patternType="solid">
        <fgColor rgb="FFDFF4EA"/>
        <bgColor rgb="FFDFF4EA"/>
      </patternFill>
    </fill>
    <fill>
      <patternFill patternType="solid">
        <fgColor rgb="FFF9F8FF"/>
        <bgColor rgb="FFF9F8FF"/>
      </patternFill>
    </fill>
    <fill>
      <patternFill patternType="solid">
        <fgColor rgb="FF344479"/>
        <bgColor rgb="FF344479"/>
      </patternFill>
    </fill>
    <fill>
      <patternFill patternType="solid">
        <fgColor rgb="FFF9F6F0"/>
        <bgColor rgb="FFF9F6F0"/>
      </patternFill>
    </fill>
    <fill>
      <patternFill patternType="solid">
        <fgColor rgb="FFF1E9DD"/>
        <bgColor rgb="FFF1E9DD"/>
      </patternFill>
    </fill>
    <fill>
      <patternFill patternType="solid">
        <fgColor rgb="FFF4EAE5"/>
        <bgColor rgb="FFF4EAE5"/>
      </patternFill>
    </fill>
    <fill>
      <patternFill patternType="solid">
        <fgColor rgb="FFEAF2E8"/>
        <bgColor rgb="FFEAF2E8"/>
      </patternFill>
    </fill>
    <fill>
      <patternFill patternType="solid">
        <fgColor rgb="FFE8EFFC"/>
        <bgColor rgb="FFE8EFFC"/>
      </patternFill>
    </fill>
    <fill>
      <patternFill patternType="solid">
        <fgColor rgb="FFFCF7E0"/>
        <bgColor rgb="FFFCF7E0"/>
      </patternFill>
    </fill>
    <fill>
      <patternFill patternType="solid">
        <fgColor rgb="FFF2E8FC"/>
        <bgColor rgb="FFF2E8FC"/>
      </patternFill>
    </fill>
    <fill>
      <patternFill patternType="solid">
        <fgColor rgb="FFE5F4EA"/>
        <bgColor rgb="FFE5F4EA"/>
      </patternFill>
    </fill>
    <fill>
      <patternFill patternType="solid">
        <fgColor rgb="FFFCE8E5"/>
        <bgColor rgb="FFFCE8E5"/>
      </patternFill>
    </fill>
    <fill>
      <patternFill patternType="solid">
        <fgColor rgb="FF492B11"/>
        <bgColor rgb="FF492B11"/>
      </patternFill>
    </fill>
    <fill>
      <patternFill patternType="solid">
        <fgColor rgb="FFEFEAE8"/>
        <bgColor rgb="FFEFEAE8"/>
      </patternFill>
    </fill>
  </fills>
  <borders count="190">
    <border/>
    <border>
      <left style="thin">
        <color rgb="FFCCB299"/>
      </left>
      <top style="thin">
        <color rgb="FFCCB299"/>
      </top>
    </border>
    <border>
      <right style="thin">
        <color rgb="FFCCB299"/>
      </right>
      <top style="thin">
        <color rgb="FFCCB299"/>
      </top>
    </border>
    <border>
      <top style="thin">
        <color rgb="FFCCB299"/>
      </top>
    </border>
    <border>
      <left style="thin">
        <color rgb="FFE0A58C"/>
      </left>
      <top style="thin">
        <color rgb="FFE0A58C"/>
      </top>
    </border>
    <border>
      <top style="thin">
        <color rgb="FFE0A58C"/>
      </top>
    </border>
    <border>
      <right style="thin">
        <color rgb="FFE0A58C"/>
      </right>
      <top style="thin">
        <color rgb="FFE0A58C"/>
      </top>
    </border>
    <border>
      <left style="thin">
        <color rgb="FF8CBF8C"/>
      </left>
      <top style="thin">
        <color rgb="FF8CBF8C"/>
      </top>
    </border>
    <border>
      <top style="thin">
        <color rgb="FF8CBF8C"/>
      </top>
    </border>
    <border>
      <right style="thin">
        <color rgb="FF8CBF8C"/>
      </right>
      <top style="thin">
        <color rgb="FF8CBF8C"/>
      </top>
    </border>
    <border>
      <left style="thin">
        <color rgb="FFCCB299"/>
      </left>
    </border>
    <border>
      <right style="thin">
        <color rgb="FFCCB299"/>
      </right>
    </border>
    <border>
      <left style="thin">
        <color rgb="FFE0A58C"/>
      </left>
    </border>
    <border>
      <right style="thin">
        <color rgb="FFE0A58C"/>
      </right>
    </border>
    <border>
      <left style="thin">
        <color rgb="FF8CBF8C"/>
      </left>
    </border>
    <border>
      <right style="thin">
        <color rgb="FF8CBF8C"/>
      </right>
    </border>
    <border>
      <left style="thin">
        <color rgb="FFCCB299"/>
      </left>
      <bottom style="thin">
        <color rgb="FFCCB299"/>
      </bottom>
    </border>
    <border>
      <right style="thin">
        <color rgb="FFCCB299"/>
      </right>
      <bottom style="thin">
        <color rgb="FFCCB299"/>
      </bottom>
    </border>
    <border>
      <bottom style="thin">
        <color rgb="FFCCB299"/>
      </bottom>
    </border>
    <border>
      <left style="thin">
        <color rgb="FFE0A58C"/>
      </left>
      <bottom style="thin">
        <color rgb="FFE0A58C"/>
      </bottom>
    </border>
    <border>
      <bottom style="thin">
        <color rgb="FFE0A58C"/>
      </bottom>
    </border>
    <border>
      <right style="thin">
        <color rgb="FFE0A58C"/>
      </right>
      <bottom style="thin">
        <color rgb="FFE0A58C"/>
      </bottom>
    </border>
    <border>
      <left style="thin">
        <color rgb="FF8CBF8C"/>
      </left>
      <bottom style="thin">
        <color rgb="FF8CBF8C"/>
      </bottom>
    </border>
    <border>
      <bottom style="thin">
        <color rgb="FF8CBF8C"/>
      </bottom>
    </border>
    <border>
      <right style="thin">
        <color rgb="FF8CBF8C"/>
      </right>
      <bottom style="thin">
        <color rgb="FF8CBF8C"/>
      </bottom>
    </border>
    <border>
      <left style="thin">
        <color rgb="FFCCB299"/>
      </left>
      <top style="thin">
        <color rgb="FFCCB299"/>
      </top>
      <bottom style="thin">
        <color rgb="FFE5D8CC"/>
      </bottom>
    </border>
    <border>
      <right style="thin">
        <color rgb="FFE5D8CC"/>
      </right>
      <top style="thin">
        <color rgb="FFCCB299"/>
      </top>
      <bottom style="thin">
        <color rgb="FFE5D8CC"/>
      </bottom>
    </border>
    <border>
      <left style="thin">
        <color rgb="FFE5D8CC"/>
      </left>
      <right style="thin">
        <color rgb="FFE5D8CC"/>
      </right>
      <top style="thin">
        <color rgb="FFCCB299"/>
      </top>
      <bottom style="thin">
        <color rgb="FFE5D8CC"/>
      </bottom>
    </border>
    <border>
      <left style="thin">
        <color rgb="FFE5D8CC"/>
      </left>
      <top style="thin">
        <color rgb="FFCCB299"/>
      </top>
      <bottom style="thin">
        <color rgb="FFE5D8CC"/>
      </bottom>
    </border>
    <border>
      <top style="thin">
        <color rgb="FFCCB299"/>
      </top>
      <bottom style="thin">
        <color rgb="FFE5D8CC"/>
      </bottom>
    </border>
    <border>
      <right style="thin">
        <color rgb="FFCCB299"/>
      </right>
      <top style="thin">
        <color rgb="FFCCB299"/>
      </top>
      <bottom style="thin">
        <color rgb="FFE5D8CC"/>
      </bottom>
    </border>
    <border>
      <left style="thin">
        <color rgb="FFCCB299"/>
      </left>
      <top style="thin">
        <color rgb="FFE5D8CC"/>
      </top>
      <bottom style="thin">
        <color rgb="FFE5D8CC"/>
      </bottom>
    </border>
    <border>
      <right style="thin">
        <color rgb="FFE5D8CC"/>
      </right>
      <top style="thin">
        <color rgb="FFE5D8CC"/>
      </top>
      <bottom style="thin">
        <color rgb="FFE5D8CC"/>
      </bottom>
    </border>
    <border>
      <left style="thin">
        <color rgb="FFE5D8CC"/>
      </left>
      <right style="thin">
        <color rgb="FFE5D8CC"/>
      </right>
      <top style="thin">
        <color rgb="FFE5D8CC"/>
      </top>
      <bottom style="thin">
        <color rgb="FFE5D8CC"/>
      </bottom>
    </border>
    <border>
      <left style="thin">
        <color rgb="FFE5D8CC"/>
      </left>
      <top style="thin">
        <color rgb="FFE5D8CC"/>
      </top>
      <bottom style="thin">
        <color rgb="FFE5D8CC"/>
      </bottom>
    </border>
    <border>
      <top style="thin">
        <color rgb="FFE5D8CC"/>
      </top>
      <bottom style="thin">
        <color rgb="FFE5D8CC"/>
      </bottom>
    </border>
    <border>
      <right style="thin">
        <color rgb="FFCCB299"/>
      </right>
      <top style="thin">
        <color rgb="FFE5D8CC"/>
      </top>
      <bottom style="thin">
        <color rgb="FFE5D8CC"/>
      </bottom>
    </border>
    <border>
      <left style="thin">
        <color rgb="FFCCB299"/>
      </left>
      <top style="thin">
        <color rgb="FFE5D8CC"/>
      </top>
      <bottom style="thin">
        <color rgb="FFCCB299"/>
      </bottom>
    </border>
    <border>
      <right style="thin">
        <color rgb="FFE5D8CC"/>
      </right>
      <top style="thin">
        <color rgb="FFE5D8CC"/>
      </top>
      <bottom style="thin">
        <color rgb="FFCCB299"/>
      </bottom>
    </border>
    <border>
      <left style="thin">
        <color rgb="FFE5D8CC"/>
      </left>
      <right style="thin">
        <color rgb="FFE5D8CC"/>
      </right>
      <top style="thin">
        <color rgb="FFE5D8CC"/>
      </top>
      <bottom style="thin">
        <color rgb="FFCCB299"/>
      </bottom>
    </border>
    <border>
      <left style="thin">
        <color rgb="FFE5D8CC"/>
      </left>
      <top style="thin">
        <color rgb="FFE5D8CC"/>
      </top>
      <bottom style="thin">
        <color rgb="FFCCB299"/>
      </bottom>
    </border>
    <border>
      <top style="thin">
        <color rgb="FFE5D8CC"/>
      </top>
      <bottom style="thin">
        <color rgb="FFCCB299"/>
      </bottom>
    </border>
    <border>
      <right style="thin">
        <color rgb="FFCCB299"/>
      </right>
      <top style="thin">
        <color rgb="FFE5D8CC"/>
      </top>
      <bottom style="thin">
        <color rgb="FFCCB299"/>
      </bottom>
    </border>
    <border>
      <left style="thin">
        <color rgb="FFCCBFB2"/>
      </left>
      <right style="thin">
        <color rgb="FFE0D8D1"/>
      </right>
      <top style="thin">
        <color rgb="FFCCBFB2"/>
      </top>
    </border>
    <border>
      <left style="thin">
        <color rgb="FFE0D8D1"/>
      </left>
      <right style="thin">
        <color rgb="FFE0D8D1"/>
      </right>
      <top style="thin">
        <color rgb="FFCCBFB2"/>
      </top>
    </border>
    <border>
      <left style="thin">
        <color rgb="FFE0D8D1"/>
      </left>
      <right style="thin">
        <color rgb="FFCCBFB2"/>
      </right>
      <top style="thin">
        <color rgb="FFCCBFB2"/>
      </top>
    </border>
    <border>
      <left style="thin">
        <color rgb="FF874F20"/>
      </left>
      <top style="thin">
        <color rgb="FF874F20"/>
      </top>
    </border>
    <border>
      <top style="thin">
        <color rgb="FF874F20"/>
      </top>
    </border>
    <border>
      <right style="thin">
        <color rgb="FF874F20"/>
      </right>
      <top style="thin">
        <color rgb="FF874F20"/>
      </top>
    </border>
    <border>
      <left style="thin">
        <color rgb="FFCCBFB2"/>
      </left>
      <right style="thin">
        <color rgb="FFE0D8D1"/>
      </right>
    </border>
    <border>
      <left style="thin">
        <color rgb="FFE0D8D1"/>
      </left>
      <right style="thin">
        <color rgb="FFE0D8D1"/>
      </right>
    </border>
    <border>
      <left style="thin">
        <color rgb="FFE0D8D1"/>
      </left>
      <right style="thin">
        <color rgb="FFCCBFB2"/>
      </right>
    </border>
    <border>
      <left style="thin">
        <color rgb="FFC0D7BD"/>
      </left>
      <top style="thin">
        <color rgb="FFC0D7BD"/>
      </top>
    </border>
    <border>
      <left style="thin">
        <color rgb="FFB9E6FC"/>
      </left>
      <top style="thin">
        <color rgb="FFB9E6FC"/>
      </top>
    </border>
    <border>
      <right style="thin">
        <color rgb="FFB9E6FC"/>
      </right>
      <top style="thin">
        <color rgb="FFB9E6FC"/>
      </top>
    </border>
    <border>
      <left style="thin">
        <color rgb="FFFDEF89"/>
      </left>
      <top style="thin">
        <color rgb="FFFDEF89"/>
      </top>
    </border>
    <border>
      <left style="thin">
        <color rgb="FFFDC9C9"/>
      </left>
      <top style="thin">
        <color rgb="FFFDC9C9"/>
      </top>
    </border>
    <border>
      <right style="thin">
        <color rgb="FFFDC9C9"/>
      </right>
      <top style="thin">
        <color rgb="FFFDC9C9"/>
      </top>
    </border>
    <border>
      <left style="thin">
        <color rgb="FFCCBFB2"/>
      </left>
      <right style="thin">
        <color rgb="FFE0D8D1"/>
      </right>
      <bottom style="thin">
        <color rgb="FFCCBFB2"/>
      </bottom>
    </border>
    <border>
      <left style="thin">
        <color rgb="FFE0D8D1"/>
      </left>
      <right style="thin">
        <color rgb="FFE0D8D1"/>
      </right>
      <bottom style="thin">
        <color rgb="FFCCBFB2"/>
      </bottom>
    </border>
    <border>
      <left style="thin">
        <color rgb="FFE0D8D1"/>
      </left>
      <right style="thin">
        <color rgb="FFCCBFB2"/>
      </right>
      <bottom style="thin">
        <color rgb="FFCCBFB2"/>
      </bottom>
    </border>
    <border>
      <left style="thin">
        <color rgb="FFCCB299"/>
      </left>
      <right style="thin">
        <color rgb="FFE5D8CC"/>
      </right>
      <top style="thin">
        <color rgb="FFCCB299"/>
      </top>
      <bottom style="thin">
        <color rgb="FFE5D8CC"/>
      </bottom>
    </border>
    <border>
      <left style="thin">
        <color rgb="FFC0D7BD"/>
      </left>
    </border>
    <border>
      <left style="thin">
        <color rgb="FFE5D8CC"/>
      </left>
      <right style="thin">
        <color rgb="FFCCB299"/>
      </right>
      <top style="thin">
        <color rgb="FFCCB299"/>
      </top>
      <bottom style="thin">
        <color rgb="FFE5D8CC"/>
      </bottom>
    </border>
    <border>
      <left style="thin">
        <color rgb="FFB9E6FC"/>
      </left>
    </border>
    <border>
      <right style="thin">
        <color rgb="FFB9E6FC"/>
      </right>
    </border>
    <border>
      <left style="thin">
        <color rgb="FFCCB299"/>
      </left>
      <right style="thin">
        <color rgb="FFE5D8CC"/>
      </right>
      <top style="thin">
        <color rgb="FFE5D8CC"/>
      </top>
      <bottom style="thin">
        <color rgb="FFE5D8CC"/>
      </bottom>
    </border>
    <border>
      <left style="thin">
        <color rgb="FFFDEF89"/>
      </left>
    </border>
    <border>
      <left style="thin">
        <color rgb="FFFDC9C9"/>
      </left>
    </border>
    <border>
      <left style="thin">
        <color rgb="FFE5D8CC"/>
      </left>
      <right style="thin">
        <color rgb="FFCCB299"/>
      </right>
      <top style="thin">
        <color rgb="FFE5D8CC"/>
      </top>
      <bottom style="thin">
        <color rgb="FFE5D8CC"/>
      </bottom>
    </border>
    <border>
      <right style="thin">
        <color rgb="FFFDC9C9"/>
      </right>
    </border>
    <border>
      <left style="thin">
        <color rgb="FFCCB299"/>
      </left>
      <right style="thin">
        <color rgb="FFE5D8CC"/>
      </right>
      <top style="thin">
        <color rgb="FFE5D8CC"/>
      </top>
      <bottom style="thin">
        <color rgb="FFCCB299"/>
      </bottom>
    </border>
    <border>
      <left style="thin">
        <color rgb="FF874F20"/>
      </left>
      <top style="thin">
        <color rgb="FF874F20"/>
      </top>
      <bottom style="thin">
        <color rgb="FFE8DFD7"/>
      </bottom>
    </border>
    <border>
      <top style="thin">
        <color rgb="FF874F20"/>
      </top>
      <bottom style="thin">
        <color rgb="FFE8DFD7"/>
      </bottom>
    </border>
    <border>
      <right style="thin">
        <color rgb="FF874F20"/>
      </right>
      <top style="thin">
        <color rgb="FF874F20"/>
      </top>
      <bottom style="thin">
        <color rgb="FFE8DFD7"/>
      </bottom>
    </border>
    <border>
      <left style="thin">
        <color rgb="FFE5D8CC"/>
      </left>
      <right style="thin">
        <color rgb="FFCCB299"/>
      </right>
      <top style="thin">
        <color rgb="FFE5D8CC"/>
      </top>
      <bottom style="thin">
        <color rgb="FFCCB299"/>
      </bottom>
    </border>
    <border>
      <left style="thin">
        <color rgb="FF854D0E"/>
      </left>
      <top style="thin">
        <color rgb="FF854D0E"/>
      </top>
      <bottom style="thin">
        <color rgb="FFFDEF89"/>
      </bottom>
    </border>
    <border>
      <top style="thin">
        <color rgb="FF854D0E"/>
      </top>
      <bottom style="thin">
        <color rgb="FFFDEF89"/>
      </bottom>
    </border>
    <border>
      <right style="thin">
        <color rgb="FF854D0E"/>
      </right>
      <top style="thin">
        <color rgb="FF854D0E"/>
      </top>
      <bottom style="thin">
        <color rgb="FFFDEF89"/>
      </bottom>
    </border>
    <border>
      <left style="thin">
        <color rgb="FFCCBFB2"/>
      </left>
      <right style="thin">
        <color rgb="FFE0D8D1"/>
      </right>
      <top style="thin">
        <color rgb="FFCCBFB2"/>
      </top>
      <bottom style="thin">
        <color rgb="FFE0D8D1"/>
      </bottom>
    </border>
    <border>
      <left style="thin">
        <color rgb="FFE0D8D1"/>
      </left>
      <right style="thin">
        <color rgb="FFE0D8D1"/>
      </right>
      <top style="thin">
        <color rgb="FFCCBFB2"/>
      </top>
      <bottom style="thin">
        <color rgb="FFE0D8D1"/>
      </bottom>
    </border>
    <border>
      <left style="thin">
        <color rgb="FFE0D8D1"/>
      </left>
      <right style="thin">
        <color rgb="FFCCBFB2"/>
      </right>
      <top style="thin">
        <color rgb="FFCCBFB2"/>
      </top>
      <bottom style="thin">
        <color rgb="FFE0D8D1"/>
      </bottom>
    </border>
    <border>
      <left style="thin">
        <color rgb="FF874F20"/>
      </left>
      <top style="thin">
        <color rgb="FFE8DFD7"/>
      </top>
      <bottom style="thin">
        <color rgb="FFE8DFD7"/>
      </bottom>
    </border>
    <border>
      <top style="thin">
        <color rgb="FFE8DFD7"/>
      </top>
      <bottom style="thin">
        <color rgb="FFE8DFD7"/>
      </bottom>
    </border>
    <border>
      <right style="thin">
        <color rgb="FF874F20"/>
      </right>
      <top style="thin">
        <color rgb="FFE8DFD7"/>
      </top>
      <bottom style="thin">
        <color rgb="FFE8DFD7"/>
      </bottom>
    </border>
    <border>
      <left style="thin">
        <color rgb="FF854D0E"/>
      </left>
      <top style="thin">
        <color rgb="FFFDEF89"/>
      </top>
      <bottom style="thin">
        <color rgb="FFFDEF89"/>
      </bottom>
    </border>
    <border>
      <top style="thin">
        <color rgb="FFFDEF89"/>
      </top>
      <bottom style="thin">
        <color rgb="FFFDEF89"/>
      </bottom>
    </border>
    <border>
      <right style="thin">
        <color rgb="FF854D0E"/>
      </right>
      <top style="thin">
        <color rgb="FFFDEF89"/>
      </top>
      <bottom style="thin">
        <color rgb="FFFDEF89"/>
      </bottom>
    </border>
    <border>
      <left style="thin">
        <color rgb="FFCCBFB2"/>
      </left>
      <right style="thin">
        <color rgb="FFE0D8D1"/>
      </right>
      <top style="thin">
        <color rgb="FFE0D8D1"/>
      </top>
      <bottom style="thin">
        <color rgb="FFE0D8D1"/>
      </bottom>
    </border>
    <border>
      <left style="thin">
        <color rgb="FFE0D8D1"/>
      </left>
      <right style="thin">
        <color rgb="FFE0D8D1"/>
      </right>
      <top style="thin">
        <color rgb="FFE0D8D1"/>
      </top>
      <bottom style="thin">
        <color rgb="FFE0D8D1"/>
      </bottom>
    </border>
    <border>
      <left style="thin">
        <color rgb="FFE0D8D1"/>
      </left>
      <right style="thin">
        <color rgb="FFCCBFB2"/>
      </right>
      <top style="thin">
        <color rgb="FFE0D8D1"/>
      </top>
      <bottom style="thin">
        <color rgb="FFE0D8D1"/>
      </bottom>
    </border>
    <border>
      <left style="thin">
        <color rgb="FF874F20"/>
      </left>
      <right style="thin">
        <color rgb="FFE8DFD7"/>
      </right>
      <top style="thin">
        <color rgb="FFE8DFD7"/>
      </top>
      <bottom style="thin">
        <color rgb="FFE8DFD7"/>
      </bottom>
    </border>
    <border>
      <left style="thin">
        <color rgb="FFE8DFD7"/>
      </left>
      <right style="thin">
        <color rgb="FFE8DFD7"/>
      </right>
      <top style="thin">
        <color rgb="FFE8DFD7"/>
      </top>
      <bottom style="thin">
        <color rgb="FFE8DFD7"/>
      </bottom>
    </border>
    <border>
      <left style="thin">
        <color rgb="FFE8DFD7"/>
      </left>
      <right style="thin">
        <color rgb="FF874F20"/>
      </right>
      <top style="thin">
        <color rgb="FFE8DFD7"/>
      </top>
      <bottom style="thin">
        <color rgb="FFE8DFD7"/>
      </bottom>
    </border>
    <border>
      <left style="thin">
        <color rgb="FF854D0E"/>
      </left>
      <right style="thin">
        <color rgb="FFFDEF89"/>
      </right>
      <top style="thin">
        <color rgb="FFFDEF89"/>
      </top>
      <bottom style="thin">
        <color rgb="FFFDEF89"/>
      </bottom>
    </border>
    <border>
      <left style="thin">
        <color rgb="FFFDEF89"/>
      </left>
      <right style="thin">
        <color rgb="FFFDEF89"/>
      </right>
      <top style="thin">
        <color rgb="FFFDEF89"/>
      </top>
      <bottom style="thin">
        <color rgb="FFFDEF89"/>
      </bottom>
    </border>
    <border>
      <left style="thin">
        <color rgb="FFFDEF89"/>
      </left>
      <right style="thin">
        <color rgb="FF854D0E"/>
      </right>
      <top style="thin">
        <color rgb="FFFDEF89"/>
      </top>
      <bottom style="thin">
        <color rgb="FFFDEF89"/>
      </bottom>
    </border>
    <border>
      <left style="thin">
        <color rgb="FFCCBFB2"/>
      </left>
      <right style="thin">
        <color rgb="FFE0D8D1"/>
      </right>
      <top style="thin">
        <color rgb="FFE0D8D1"/>
      </top>
      <bottom style="thin">
        <color rgb="FFCCBFB2"/>
      </bottom>
    </border>
    <border>
      <left style="thin">
        <color rgb="FFE0D8D1"/>
      </left>
      <right style="thin">
        <color rgb="FFE0D8D1"/>
      </right>
      <top style="thin">
        <color rgb="FFE0D8D1"/>
      </top>
      <bottom style="thin">
        <color rgb="FFCCBFB2"/>
      </bottom>
    </border>
    <border>
      <left style="thin">
        <color rgb="FFE0D8D1"/>
      </left>
      <right style="thin">
        <color rgb="FFCCBFB2"/>
      </right>
      <top style="thin">
        <color rgb="FFE0D8D1"/>
      </top>
      <bottom style="thin">
        <color rgb="FFCCBFB2"/>
      </bottom>
    </border>
    <border>
      <left style="thin">
        <color rgb="FFCCBFB2"/>
      </left>
      <top style="thin">
        <color rgb="FFCCBFB2"/>
      </top>
      <bottom style="thin">
        <color rgb="FFE0D8D1"/>
      </bottom>
    </border>
    <border>
      <top style="thin">
        <color rgb="FFCCBFB2"/>
      </top>
      <bottom style="thin">
        <color rgb="FFE0D8D1"/>
      </bottom>
    </border>
    <border>
      <right style="thin">
        <color rgb="FFCCBFB2"/>
      </right>
      <top style="thin">
        <color rgb="FFCCBFB2"/>
      </top>
      <bottom style="thin">
        <color rgb="FFE0D8D1"/>
      </bottom>
    </border>
    <border>
      <left style="thin">
        <color rgb="FFCCBFB2"/>
      </left>
      <top style="thin">
        <color rgb="FFE0D8D1"/>
      </top>
      <bottom style="thin">
        <color rgb="FFE0D8D1"/>
      </bottom>
    </border>
    <border>
      <top style="thin">
        <color rgb="FFE0D8D1"/>
      </top>
      <bottom style="thin">
        <color rgb="FFE0D8D1"/>
      </bottom>
    </border>
    <border>
      <right style="thin">
        <color rgb="FFCCBFB2"/>
      </right>
      <top style="thin">
        <color rgb="FFE0D8D1"/>
      </top>
      <bottom style="thin">
        <color rgb="FFE0D8D1"/>
      </bottom>
    </border>
    <border>
      <left style="thin">
        <color rgb="FFCCBFB2"/>
      </left>
      <top style="thin">
        <color rgb="FFE0D8D1"/>
      </top>
      <bottom style="thin">
        <color rgb="FFCCBFB2"/>
      </bottom>
    </border>
    <border>
      <top style="thin">
        <color rgb="FFE0D8D1"/>
      </top>
      <bottom style="thin">
        <color rgb="FFCCBFB2"/>
      </bottom>
    </border>
    <border>
      <right style="thin">
        <color rgb="FFCCBFB2"/>
      </right>
      <top style="thin">
        <color rgb="FFE0D8D1"/>
      </top>
      <bottom style="thin">
        <color rgb="FFCCBFB2"/>
      </bottom>
    </border>
    <border>
      <left style="thin">
        <color rgb="FF854D0E"/>
      </left>
      <right style="thin">
        <color rgb="FFFDEF89"/>
      </right>
      <top style="thin">
        <color rgb="FFFDEF89"/>
      </top>
      <bottom style="thin">
        <color rgb="FF854D0E"/>
      </bottom>
    </border>
    <border>
      <left style="thin">
        <color rgb="FFFDEF89"/>
      </left>
      <right style="thin">
        <color rgb="FFFDEF89"/>
      </right>
      <top style="thin">
        <color rgb="FFFDEF89"/>
      </top>
      <bottom style="thin">
        <color rgb="FF854D0E"/>
      </bottom>
    </border>
    <border>
      <left style="thin">
        <color rgb="FFFDEF89"/>
      </left>
      <right style="thin">
        <color rgb="FF854D0E"/>
      </right>
      <top style="thin">
        <color rgb="FFFDEF89"/>
      </top>
      <bottom style="thin">
        <color rgb="FF854D0E"/>
      </bottom>
    </border>
    <border>
      <left style="thin">
        <color rgb="FF991B1B"/>
      </left>
      <top style="thin">
        <color rgb="FF991B1B"/>
      </top>
      <bottom style="thin">
        <color rgb="FFFDC9C9"/>
      </bottom>
    </border>
    <border>
      <top style="thin">
        <color rgb="FF991B1B"/>
      </top>
      <bottom style="thin">
        <color rgb="FFFDC9C9"/>
      </bottom>
    </border>
    <border>
      <right style="thin">
        <color rgb="FF991B1B"/>
      </right>
      <top style="thin">
        <color rgb="FF991B1B"/>
      </top>
      <bottom style="thin">
        <color rgb="FFFDC9C9"/>
      </bottom>
    </border>
    <border>
      <left style="thin">
        <color rgb="FF991B1B"/>
      </left>
      <top style="thin">
        <color rgb="FFFDC9C9"/>
      </top>
      <bottom style="thin">
        <color rgb="FFFDC9C9"/>
      </bottom>
    </border>
    <border>
      <top style="thin">
        <color rgb="FFFDC9C9"/>
      </top>
      <bottom style="thin">
        <color rgb="FFFDC9C9"/>
      </bottom>
    </border>
    <border>
      <right style="thin">
        <color rgb="FF991B1B"/>
      </right>
      <top style="thin">
        <color rgb="FFFDC9C9"/>
      </top>
      <bottom style="thin">
        <color rgb="FFFDC9C9"/>
      </bottom>
    </border>
    <border>
      <left style="thin">
        <color rgb="FF991B1B"/>
      </left>
      <right style="thin">
        <color rgb="FFFDC9C9"/>
      </right>
      <top style="thin">
        <color rgb="FFFDC9C9"/>
      </top>
      <bottom style="thin">
        <color rgb="FFFDC9C9"/>
      </bottom>
    </border>
    <border>
      <left style="thin">
        <color rgb="FFFDC9C9"/>
      </left>
      <right style="thin">
        <color rgb="FFFDC9C9"/>
      </right>
      <top style="thin">
        <color rgb="FFFDC9C9"/>
      </top>
      <bottom style="thin">
        <color rgb="FFFDC9C9"/>
      </bottom>
    </border>
    <border>
      <left style="thin">
        <color rgb="FFFDC9C9"/>
      </left>
      <right style="thin">
        <color rgb="FF991B1B"/>
      </right>
      <top style="thin">
        <color rgb="FFFDC9C9"/>
      </top>
      <bottom style="thin">
        <color rgb="FFFDC9C9"/>
      </bottom>
    </border>
    <border>
      <left style="thin">
        <color rgb="FF874F20"/>
      </left>
      <right style="thin">
        <color rgb="FFE8DFD7"/>
      </right>
      <top style="thin">
        <color rgb="FFE8DFD7"/>
      </top>
      <bottom style="thin">
        <color rgb="FF874F20"/>
      </bottom>
    </border>
    <border>
      <left style="thin">
        <color rgb="FFE8DFD7"/>
      </left>
      <right style="thin">
        <color rgb="FFE8DFD7"/>
      </right>
      <top style="thin">
        <color rgb="FFE8DFD7"/>
      </top>
      <bottom style="thin">
        <color rgb="FF874F20"/>
      </bottom>
    </border>
    <border>
      <left style="thin">
        <color rgb="FFE8DFD7"/>
      </left>
      <right style="thin">
        <color rgb="FF874F20"/>
      </right>
      <top style="thin">
        <color rgb="FFE8DFD7"/>
      </top>
      <bottom style="thin">
        <color rgb="FF874F20"/>
      </bottom>
    </border>
    <border>
      <left style="thin">
        <color rgb="FF991B1B"/>
      </left>
      <right style="thin">
        <color rgb="FFFDC9C9"/>
      </right>
      <top style="thin">
        <color rgb="FFFDC9C9"/>
      </top>
      <bottom style="thin">
        <color rgb="FF991B1B"/>
      </bottom>
    </border>
    <border>
      <left style="thin">
        <color rgb="FFFDC9C9"/>
      </left>
      <right style="thin">
        <color rgb="FFFDC9C9"/>
      </right>
      <top style="thin">
        <color rgb="FFFDC9C9"/>
      </top>
      <bottom style="thin">
        <color rgb="FF991B1B"/>
      </bottom>
    </border>
    <border>
      <left style="thin">
        <color rgb="FFFDC9C9"/>
      </left>
      <right style="thin">
        <color rgb="FF991B1B"/>
      </right>
      <top style="thin">
        <color rgb="FFFDC9C9"/>
      </top>
      <bottom style="thin">
        <color rgb="FF991B1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B2997F"/>
      </left>
      <top style="thin">
        <color rgb="FFB2997F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B2997F"/>
      </top>
    </border>
    <border>
      <right style="thin">
        <color rgb="FFB2997F"/>
      </right>
      <top style="thin">
        <color rgb="FFB2997F"/>
      </top>
    </border>
    <border>
      <right style="thin">
        <color rgb="FF000000"/>
      </right>
      <bottom style="thin">
        <color rgb="FF000000"/>
      </bottom>
    </border>
    <border>
      <left style="thin">
        <color rgb="FFB2997F"/>
      </left>
      <bottom style="thin">
        <color rgb="FFB2997F"/>
      </bottom>
    </border>
    <border>
      <bottom style="thin">
        <color rgb="FFB2997F"/>
      </bottom>
    </border>
    <border>
      <right style="thin">
        <color rgb="FFB2997F"/>
      </right>
      <bottom style="thin">
        <color rgb="FFB2997F"/>
      </bottom>
    </border>
    <border>
      <left style="thin">
        <color rgb="FFCCBFB2"/>
      </left>
      <top style="thin">
        <color rgb="FFCCBFB2"/>
      </top>
      <bottom style="hair">
        <color rgb="FFD8D1CC"/>
      </bottom>
    </border>
    <border>
      <top style="thin">
        <color rgb="FFCCBFB2"/>
      </top>
      <bottom style="hair">
        <color rgb="FFD8D1CC"/>
      </bottom>
    </border>
    <border>
      <right style="thin">
        <color rgb="FFCCBFB2"/>
      </right>
      <top style="thin">
        <color rgb="FFCCBFB2"/>
      </top>
      <bottom style="hair">
        <color rgb="FFD8D1CC"/>
      </bottom>
    </border>
    <border>
      <left style="thin">
        <color rgb="FFCCBFB2"/>
      </left>
      <top style="hair">
        <color rgb="FFD8D1CC"/>
      </top>
      <bottom style="hair">
        <color rgb="FFD8D1CC"/>
      </bottom>
    </border>
    <border>
      <top style="hair">
        <color rgb="FFD8D1CC"/>
      </top>
      <bottom style="hair">
        <color rgb="FFD8D1CC"/>
      </bottom>
    </border>
    <border>
      <left style="thin">
        <color rgb="FFC6C9E0"/>
      </left>
      <top style="thin">
        <color rgb="FFC6C9E0"/>
      </top>
    </border>
    <border>
      <right style="thin">
        <color rgb="FFCCBFB2"/>
      </right>
      <top style="hair">
        <color rgb="FFD8D1CC"/>
      </top>
      <bottom style="hair">
        <color rgb="FFD8D1CC"/>
      </bottom>
    </border>
    <border>
      <right style="thin">
        <color rgb="FFC6C9E0"/>
      </right>
      <top style="thin">
        <color rgb="FFC6C9E0"/>
      </top>
    </border>
    <border>
      <left style="thin">
        <color rgb="FFEFC4D1"/>
      </left>
      <top style="thin">
        <color rgb="FFEFC4D1"/>
      </top>
    </border>
    <border>
      <right style="thin">
        <color rgb="FFEFC4D1"/>
      </right>
      <top style="thin">
        <color rgb="FFEFC4D1"/>
      </top>
    </border>
    <border>
      <left style="thin">
        <color rgb="FFBFE2D1"/>
      </left>
      <top style="thin">
        <color rgb="FFBFE2D1"/>
      </top>
    </border>
    <border>
      <right style="thin">
        <color rgb="FFBFE2D1"/>
      </right>
      <top style="thin">
        <color rgb="FFBFE2D1"/>
      </top>
    </border>
    <border>
      <left style="thin">
        <color rgb="FFC6C9E0"/>
      </left>
    </border>
    <border>
      <right style="thin">
        <color rgb="FFC6C9E0"/>
      </right>
    </border>
    <border>
      <left style="thin">
        <color rgb="FFEFC4D1"/>
      </left>
    </border>
    <border>
      <left style="thin">
        <color rgb="FFCCBFB2"/>
      </left>
      <top style="hair">
        <color rgb="FFD8D1CC"/>
      </top>
      <bottom style="thin">
        <color rgb="FFCCBFB2"/>
      </bottom>
    </border>
    <border>
      <right style="thin">
        <color rgb="FFEFC4D1"/>
      </right>
    </border>
    <border>
      <top style="hair">
        <color rgb="FFD8D1CC"/>
      </top>
      <bottom style="thin">
        <color rgb="FFCCBFB2"/>
      </bottom>
    </border>
    <border>
      <left style="thin">
        <color rgb="FFBFE2D1"/>
      </left>
    </border>
    <border>
      <right style="thin">
        <color rgb="FFCCBFB2"/>
      </right>
      <top style="hair">
        <color rgb="FFD8D1CC"/>
      </top>
      <bottom style="thin">
        <color rgb="FFCCBFB2"/>
      </bottom>
    </border>
    <border>
      <right style="thin">
        <color rgb="FFBFE2D1"/>
      </right>
    </border>
    <border>
      <left style="thin">
        <color rgb="FFB2997F"/>
      </left>
      <top style="thin">
        <color rgb="FFB2997F"/>
      </top>
      <bottom style="thin">
        <color rgb="FFE0D8D1"/>
      </bottom>
    </border>
    <border>
      <left style="thin">
        <color rgb="FFC6C9E0"/>
      </left>
      <bottom style="thin">
        <color rgb="FFC6C9E0"/>
      </bottom>
    </border>
    <border>
      <top style="thin">
        <color rgb="FFB2997F"/>
      </top>
      <bottom style="thin">
        <color rgb="FFE0D8D1"/>
      </bottom>
    </border>
    <border>
      <right style="thin">
        <color rgb="FFC6C9E0"/>
      </right>
      <bottom style="thin">
        <color rgb="FFC6C9E0"/>
      </bottom>
    </border>
    <border>
      <right style="thin">
        <color rgb="FFB2997F"/>
      </right>
      <top style="thin">
        <color rgb="FFB2997F"/>
      </top>
      <bottom style="thin">
        <color rgb="FFE0D8D1"/>
      </bottom>
    </border>
    <border>
      <left style="thin">
        <color rgb="FFEFC4D1"/>
      </left>
      <bottom style="thin">
        <color rgb="FFEFC4D1"/>
      </bottom>
    </border>
    <border>
      <right style="thin">
        <color rgb="FFEFC4D1"/>
      </right>
      <bottom style="thin">
        <color rgb="FFEFC4D1"/>
      </bottom>
    </border>
    <border>
      <left style="thin">
        <color rgb="FFBFE2D1"/>
      </left>
      <bottom style="thin">
        <color rgb="FFBFE2D1"/>
      </bottom>
    </border>
    <border>
      <left style="thin">
        <color rgb="FFB2997F"/>
      </left>
      <top style="thin">
        <color rgb="FFE0D8D1"/>
      </top>
      <bottom style="thin">
        <color rgb="FFE0D8D1"/>
      </bottom>
    </border>
    <border>
      <right style="thin">
        <color rgb="FFBFE2D1"/>
      </right>
      <bottom style="thin">
        <color rgb="FFBFE2D1"/>
      </bottom>
    </border>
    <border>
      <left style="thin">
        <color rgb="FFCCD1E0"/>
      </left>
      <right style="thin">
        <color rgb="FFE5E8EF"/>
      </right>
      <top style="medium">
        <color rgb="FF334477"/>
      </top>
      <bottom style="thin">
        <color rgb="FFD8DBE5"/>
      </bottom>
    </border>
    <border>
      <left style="thin">
        <color rgb="FFE5E8EF"/>
      </left>
      <right style="thin">
        <color rgb="FFE5E8EF"/>
      </right>
      <top style="medium">
        <color rgb="FF334477"/>
      </top>
      <bottom style="thin">
        <color rgb="FFD8DBE5"/>
      </bottom>
    </border>
    <border>
      <right style="thin">
        <color rgb="FFB2997F"/>
      </right>
      <top style="thin">
        <color rgb="FFE0D8D1"/>
      </top>
      <bottom style="thin">
        <color rgb="FFE0D8D1"/>
      </bottom>
    </border>
    <border>
      <left style="thin">
        <color rgb="FFE5E8EF"/>
      </left>
      <right style="thin">
        <color rgb="FFCCD1E0"/>
      </right>
      <top style="medium">
        <color rgb="FF334477"/>
      </top>
      <bottom style="thin">
        <color rgb="FFD8DBE5"/>
      </bottom>
    </border>
    <border>
      <left style="thin">
        <color rgb="FFCCD1E0"/>
      </left>
      <right style="thin">
        <color rgb="FFE5E8EF"/>
      </right>
      <top style="thin">
        <color rgb="FFD8DBE5"/>
      </top>
      <bottom style="thin">
        <color rgb="FFCCD1E0"/>
      </bottom>
    </border>
    <border>
      <left style="thin">
        <color rgb="FFE5E8EF"/>
      </left>
      <right style="thin">
        <color rgb="FFE5E8EF"/>
      </right>
      <top style="thin">
        <color rgb="FFD8DBE5"/>
      </top>
      <bottom style="thin">
        <color rgb="FFCCD1E0"/>
      </bottom>
    </border>
    <border>
      <left style="thin">
        <color rgb="FFE5E8EF"/>
      </left>
      <right style="thin">
        <color rgb="FFCCD1E0"/>
      </right>
      <top style="thin">
        <color rgb="FFD8DBE5"/>
      </top>
      <bottom style="thin">
        <color rgb="FFCCD1E0"/>
      </bottom>
    </border>
    <border>
      <left style="thin">
        <color rgb="FFB2997F"/>
      </left>
      <top style="thin">
        <color rgb="FFE0D8D1"/>
      </top>
    </border>
    <border>
      <top style="thin">
        <color rgb="FFE0D8D1"/>
      </top>
    </border>
    <border>
      <right style="thin">
        <color rgb="FFB2997F"/>
      </right>
      <top style="thin">
        <color rgb="FFE0D8D1"/>
      </top>
    </border>
    <border>
      <left style="thin">
        <color rgb="FFB2997F"/>
      </left>
      <top style="medium">
        <color rgb="FF997F66"/>
      </top>
      <bottom style="medium">
        <color rgb="FF997F66"/>
      </bottom>
    </border>
    <border>
      <top style="medium">
        <color rgb="FF997F66"/>
      </top>
      <bottom style="medium">
        <color rgb="FF997F66"/>
      </bottom>
    </border>
    <border>
      <right style="thin">
        <color rgb="FFB2997F"/>
      </right>
      <top style="medium">
        <color rgb="FF997F66"/>
      </top>
      <bottom style="medium">
        <color rgb="FF997F66"/>
      </bottom>
    </border>
    <border>
      <right style="thin">
        <color rgb="FFE5E5E5"/>
      </right>
      <top style="thin">
        <color rgb="FFB2B2B2"/>
      </top>
      <bottom style="thin">
        <color rgb="FFE5E5E5"/>
      </bottom>
    </border>
    <border>
      <left style="thin">
        <color rgb="FFE5E5E5"/>
      </left>
      <right style="thin">
        <color rgb="FFE5E5E5"/>
      </right>
      <top style="thin">
        <color rgb="FFB2B2B2"/>
      </top>
      <bottom style="thin">
        <color rgb="FFE5E5E5"/>
      </bottom>
    </border>
    <border>
      <left style="thin">
        <color rgb="FFE5E5E5"/>
      </left>
      <top style="thin">
        <color rgb="FFB2B2B2"/>
      </top>
      <bottom style="thin">
        <color rgb="FFE5E5E5"/>
      </bottom>
    </border>
    <border>
      <right style="thin">
        <color rgb="FFE5E5E5"/>
      </right>
      <top style="thin">
        <color rgb="FFE5E5E5"/>
      </top>
      <bottom style="thin">
        <color rgb="FFE5E5E5"/>
      </bottom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</border>
    <border>
      <left style="thin">
        <color rgb="FFE5E5E5"/>
      </left>
      <top style="thin">
        <color rgb="FFE5E5E5"/>
      </top>
      <bottom style="thin">
        <color rgb="FFE5E5E5"/>
      </bottom>
    </border>
    <border>
      <right style="thin">
        <color rgb="FFE5E5E5"/>
      </right>
      <top style="thin">
        <color rgb="FFE5E5E5"/>
      </top>
      <bottom style="double">
        <color rgb="FF4C4C4C"/>
      </bottom>
    </border>
    <border>
      <left style="thin">
        <color rgb="FFE5E5E5"/>
      </left>
      <right style="thin">
        <color rgb="FFE5E5E5"/>
      </right>
      <top style="thin">
        <color rgb="FFE5E5E5"/>
      </top>
      <bottom style="double">
        <color rgb="FF4C4C4C"/>
      </bottom>
    </border>
    <border>
      <left style="thin">
        <color rgb="FFE5E5E5"/>
      </left>
      <top style="thin">
        <color rgb="FFE5E5E5"/>
      </top>
      <bottom style="double">
        <color rgb="FF4C4C4C"/>
      </bottom>
    </border>
  </borders>
  <cellStyleXfs count="1">
    <xf borderId="0" fillId="0" fontId="0" numFmtId="0" applyAlignment="1" applyFont="1"/>
  </cellStyleXfs>
  <cellXfs count="36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2" fontId="3" numFmtId="0" xfId="0" applyAlignment="1" applyFill="1" applyFont="1">
      <alignment horizontal="center"/>
    </xf>
    <xf borderId="0" fillId="2" fontId="3" numFmtId="0" xfId="0" applyAlignment="1" applyFill="1" applyFont="1">
      <alignment horizontal="center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0" fillId="0" fontId="4" numFmtId="165" xfId="0" applyFont="1" applyNumberFormat="1"/>
    <xf borderId="0" fillId="0" fontId="4" numFmtId="166" xfId="0" applyFont="1" applyNumberFormat="1"/>
    <xf borderId="0" fillId="3" fontId="4" numFmtId="167" xfId="0" applyAlignment="1" applyFill="1" applyFont="1" applyNumberFormat="1">
      <alignment readingOrder="0"/>
    </xf>
    <xf borderId="0" fillId="3" fontId="4" numFmtId="0" xfId="0" applyAlignment="1" applyFill="1" applyFont="1">
      <alignment readingOrder="0"/>
    </xf>
    <xf borderId="0" fillId="3" fontId="4" numFmtId="166" xfId="0" applyAlignment="1" applyFill="1" applyFont="1" applyNumberFormat="1">
      <alignment readingOrder="0"/>
    </xf>
    <xf borderId="0" fillId="4" fontId="4" numFmtId="167" xfId="0" applyAlignment="1" applyFill="1" applyFont="1" applyNumberFormat="1">
      <alignment readingOrder="0"/>
    </xf>
    <xf borderId="0" fillId="4" fontId="4" numFmtId="0" xfId="0" applyAlignment="1" applyFill="1" applyFont="1">
      <alignment readingOrder="0"/>
    </xf>
    <xf borderId="0" fillId="4" fontId="4" numFmtId="166" xfId="0" applyAlignment="1" applyFill="1" applyFont="1" applyNumberFormat="1">
      <alignment readingOrder="0"/>
    </xf>
    <xf borderId="0" fillId="0" fontId="4" numFmtId="167" xfId="0" applyFont="1" applyNumberFormat="1"/>
    <xf borderId="0" fillId="0" fontId="4" numFmtId="0" xfId="0" applyFont="1"/>
    <xf borderId="0" fillId="0" fontId="4" numFmtId="167" xfId="0" applyAlignment="1" applyFont="1" applyNumberFormat="1">
      <alignment readingOrder="0"/>
    </xf>
    <xf borderId="0" fillId="0" fontId="4" numFmtId="166" xfId="0" applyAlignment="1" applyFont="1" applyNumberFormat="1">
      <alignment readingOrder="0"/>
    </xf>
    <xf borderId="1" fillId="5" fontId="5" numFmtId="0" xfId="0" applyAlignment="1" applyBorder="1" applyFill="1" applyFont="1">
      <alignment horizontal="center" readingOrder="0" vertical="center"/>
    </xf>
    <xf borderId="2" fillId="0" fontId="6" numFmtId="0" xfId="0" applyBorder="1" applyFont="1"/>
    <xf borderId="3" fillId="0" fontId="6" numFmtId="0" xfId="0" applyBorder="1" applyFont="1"/>
    <xf borderId="0" fillId="0" fontId="4" numFmtId="166" xfId="0" applyFont="1" applyNumberFormat="1"/>
    <xf borderId="4" fillId="6" fontId="5" numFmtId="0" xfId="0" applyAlignment="1" applyBorder="1" applyFill="1" applyFont="1">
      <alignment horizontal="center" readingOrder="0" vertical="center"/>
    </xf>
    <xf borderId="5" fillId="0" fontId="6" numFmtId="0" xfId="0" applyBorder="1" applyFont="1"/>
    <xf borderId="6" fillId="0" fontId="6" numFmtId="0" xfId="0" applyBorder="1" applyFont="1"/>
    <xf borderId="7" fillId="7" fontId="5" numFmtId="0" xfId="0" applyAlignment="1" applyBorder="1" applyFill="1" applyFont="1">
      <alignment horizontal="center" readingOrder="0" vertical="center"/>
    </xf>
    <xf borderId="8" fillId="0" fontId="6" numFmtId="0" xfId="0" applyBorder="1" applyFont="1"/>
    <xf borderId="9" fillId="0" fontId="6" numFmtId="0" xfId="0" applyBorder="1" applyFont="1"/>
    <xf borderId="0" fillId="0" fontId="7" numFmtId="0" xfId="0" applyFont="1"/>
    <xf borderId="0" fillId="0" fontId="4" numFmtId="165" xfId="0" applyFont="1" applyNumberFormat="1"/>
    <xf borderId="10" fillId="5" fontId="8" numFmtId="166" xfId="0" applyAlignment="1" applyBorder="1" applyFill="1" applyFont="1" applyNumberFormat="1">
      <alignment horizontal="center" vertical="center"/>
    </xf>
    <xf borderId="11" fillId="0" fontId="6" numFmtId="0" xfId="0" applyBorder="1" applyFont="1"/>
    <xf borderId="12" fillId="6" fontId="8" numFmtId="166" xfId="0" applyAlignment="1" applyBorder="1" applyFill="1" applyFont="1" applyNumberFormat="1">
      <alignment horizontal="center" vertical="center"/>
    </xf>
    <xf borderId="13" fillId="0" fontId="6" numFmtId="0" xfId="0" applyBorder="1" applyFont="1"/>
    <xf borderId="14" fillId="7" fontId="8" numFmtId="166" xfId="0" applyAlignment="1" applyBorder="1" applyFill="1" applyFont="1" applyNumberFormat="1">
      <alignment horizontal="center" vertical="center"/>
    </xf>
    <xf borderId="15" fillId="0" fontId="6" numFmtId="0" xfId="0" applyBorder="1" applyFont="1"/>
    <xf borderId="16" fillId="5" fontId="9" numFmtId="0" xfId="0" applyAlignment="1" applyBorder="1" applyFill="1" applyFont="1">
      <alignment horizontal="center" readingOrder="0" vertical="center"/>
    </xf>
    <xf borderId="17" fillId="0" fontId="6" numFmtId="0" xfId="0" applyBorder="1" applyFont="1"/>
    <xf borderId="18" fillId="0" fontId="6" numFmtId="0" xfId="0" applyBorder="1" applyFont="1"/>
    <xf borderId="19" fillId="6" fontId="9" numFmtId="0" xfId="0" applyAlignment="1" applyBorder="1" applyFill="1" applyFont="1">
      <alignment horizontal="center" readingOrder="0" vertical="center"/>
    </xf>
    <xf borderId="20" fillId="0" fontId="6" numFmtId="0" xfId="0" applyBorder="1" applyFont="1"/>
    <xf borderId="21" fillId="0" fontId="6" numFmtId="0" xfId="0" applyBorder="1" applyFont="1"/>
    <xf borderId="22" fillId="7" fontId="9" numFmtId="0" xfId="0" applyAlignment="1" applyBorder="1" applyFill="1" applyFont="1">
      <alignment horizontal="center" readingOrder="0" vertical="center"/>
    </xf>
    <xf borderId="23" fillId="0" fontId="6" numFmtId="0" xfId="0" applyBorder="1" applyFont="1"/>
    <xf borderId="24" fillId="0" fontId="6" numFmtId="0" xfId="0" applyBorder="1" applyFont="1"/>
    <xf borderId="25" fillId="8" fontId="10" numFmtId="0" xfId="0" applyAlignment="1" applyBorder="1" applyFill="1" applyFont="1">
      <alignment horizontal="center" readingOrder="0" vertical="center"/>
    </xf>
    <xf borderId="26" fillId="0" fontId="6" numFmtId="0" xfId="0" applyBorder="1" applyFont="1"/>
    <xf borderId="27" fillId="8" fontId="10" numFmtId="0" xfId="0" applyAlignment="1" applyBorder="1" applyFill="1" applyFont="1">
      <alignment horizontal="center" readingOrder="0" vertical="center"/>
    </xf>
    <xf borderId="28" fillId="8" fontId="10" numFmtId="0" xfId="0" applyAlignment="1" applyBorder="1" applyFill="1" applyFont="1">
      <alignment horizontal="center" readingOrder="0" vertical="center"/>
    </xf>
    <xf borderId="29" fillId="0" fontId="6" numFmtId="0" xfId="0" applyBorder="1" applyFont="1"/>
    <xf borderId="30" fillId="0" fontId="6" numFmtId="0" xfId="0" applyBorder="1" applyFont="1"/>
    <xf borderId="31" fillId="0" fontId="11" numFmtId="0" xfId="0" applyAlignment="1" applyBorder="1" applyFont="1">
      <alignment horizontal="left" readingOrder="0" vertical="center"/>
    </xf>
    <xf borderId="32" fillId="0" fontId="6" numFmtId="0" xfId="0" applyBorder="1" applyFont="1"/>
    <xf borderId="0" fillId="0" fontId="4" numFmtId="0" xfId="0" applyFont="1"/>
    <xf borderId="33" fillId="0" fontId="12" numFmtId="165" xfId="0" applyAlignment="1" applyBorder="1" applyFont="1" applyNumberFormat="1">
      <alignment horizontal="right" vertical="center"/>
    </xf>
    <xf borderId="34" fillId="0" fontId="13" numFmtId="0" xfId="0" applyAlignment="1" applyBorder="1" applyFont="1">
      <alignment horizontal="center" readingOrder="0" vertical="center"/>
    </xf>
    <xf borderId="34" fillId="0" fontId="14" numFmtId="0" xfId="0" applyAlignment="1" applyBorder="1" applyFont="1">
      <alignment horizontal="center" vertical="center"/>
    </xf>
    <xf borderId="34" fillId="0" fontId="15" numFmtId="0" xfId="0" applyAlignment="1" applyBorder="1" applyFont="1">
      <alignment horizontal="left" readingOrder="0" vertical="center"/>
    </xf>
    <xf borderId="35" fillId="0" fontId="6" numFmtId="0" xfId="0" applyBorder="1" applyFont="1"/>
    <xf borderId="36" fillId="0" fontId="6" numFmtId="0" xfId="0" applyBorder="1" applyFont="1"/>
    <xf borderId="37" fillId="0" fontId="11" numFmtId="0" xfId="0" applyAlignment="1" applyBorder="1" applyFont="1">
      <alignment horizontal="left" readingOrder="0" vertical="center"/>
    </xf>
    <xf borderId="38" fillId="0" fontId="6" numFmtId="0" xfId="0" applyBorder="1" applyFont="1"/>
    <xf borderId="39" fillId="0" fontId="12" numFmtId="165" xfId="0" applyAlignment="1" applyBorder="1" applyFont="1" applyNumberFormat="1">
      <alignment horizontal="right" vertical="center"/>
    </xf>
    <xf borderId="40" fillId="0" fontId="13" numFmtId="0" xfId="0" applyAlignment="1" applyBorder="1" applyFont="1">
      <alignment horizontal="center" readingOrder="0" vertical="center"/>
    </xf>
    <xf borderId="40" fillId="0" fontId="14" numFmtId="0" xfId="0" applyAlignment="1" applyBorder="1" applyFont="1">
      <alignment horizontal="center" vertical="center"/>
    </xf>
    <xf borderId="40" fillId="0" fontId="15" numFmtId="0" xfId="0" applyAlignment="1" applyBorder="1" applyFont="1">
      <alignment horizontal="left" readingOrder="0" vertical="center"/>
    </xf>
    <xf borderId="41" fillId="0" fontId="6" numFmtId="0" xfId="0" applyBorder="1" applyFont="1"/>
    <xf borderId="42" fillId="0" fontId="6" numFmtId="0" xfId="0" applyBorder="1" applyFont="1"/>
    <xf borderId="0" fillId="0" fontId="16" numFmtId="0" xfId="0" applyFont="1"/>
    <xf borderId="25" fillId="8" fontId="17" numFmtId="0" xfId="0" applyAlignment="1" applyBorder="1" applyFill="1" applyFont="1">
      <alignment horizontal="center" readingOrder="0" vertical="center"/>
    </xf>
    <xf borderId="31" fillId="9" fontId="18" numFmtId="0" xfId="0" applyAlignment="1" applyBorder="1" applyFill="1" applyFont="1">
      <alignment horizontal="center" readingOrder="0" vertical="center"/>
    </xf>
    <xf borderId="34" fillId="9" fontId="18" numFmtId="0" xfId="0" applyAlignment="1" applyBorder="1" applyFill="1" applyFont="1">
      <alignment horizontal="center" readingOrder="0" vertical="center"/>
    </xf>
    <xf borderId="31" fillId="0" fontId="19" numFmtId="0" xfId="0" applyAlignment="1" applyBorder="1" applyFont="1">
      <alignment horizontal="left" readingOrder="0" vertical="center"/>
    </xf>
    <xf borderId="43" fillId="5" fontId="20" numFmtId="0" xfId="0" applyAlignment="1" applyBorder="1" applyFill="1" applyFont="1">
      <alignment horizontal="center" readingOrder="0" vertical="center"/>
    </xf>
    <xf borderId="34" fillId="0" fontId="21" numFmtId="166" xfId="0" applyAlignment="1" applyBorder="1" applyFont="1" applyNumberFormat="1">
      <alignment horizontal="right" vertical="center"/>
    </xf>
    <xf borderId="44" fillId="5" fontId="20" numFmtId="0" xfId="0" applyAlignment="1" applyBorder="1" applyFill="1" applyFont="1">
      <alignment horizontal="center" readingOrder="0" vertical="center"/>
    </xf>
    <xf borderId="34" fillId="0" fontId="22" numFmtId="0" xfId="0" applyAlignment="1" applyBorder="1" applyFont="1">
      <alignment horizontal="center" readingOrder="0" vertical="center"/>
    </xf>
    <xf borderId="44" fillId="10" fontId="20" numFmtId="0" xfId="0" applyAlignment="1" applyBorder="1" applyFill="1" applyFont="1">
      <alignment horizontal="center" readingOrder="0" vertical="center"/>
    </xf>
    <xf borderId="34" fillId="0" fontId="23" numFmtId="0" xfId="0" applyAlignment="1" applyBorder="1" applyFont="1">
      <alignment horizontal="left" readingOrder="0" vertical="center"/>
    </xf>
    <xf borderId="45" fillId="11" fontId="20" numFmtId="0" xfId="0" applyAlignment="1" applyBorder="1" applyFill="1" applyFont="1">
      <alignment horizontal="center" readingOrder="0" vertical="center"/>
    </xf>
    <xf borderId="46" fillId="12" fontId="17" numFmtId="0" xfId="0" applyAlignment="1" applyBorder="1" applyFill="1" applyFont="1">
      <alignment horizontal="center" readingOrder="0" vertical="center"/>
    </xf>
    <xf borderId="0" fillId="3" fontId="2" numFmtId="167" xfId="0" applyAlignment="1" applyFill="1" applyFont="1" applyNumberFormat="1">
      <alignment readingOrder="0"/>
    </xf>
    <xf borderId="47" fillId="0" fontId="6" numFmtId="0" xfId="0" applyBorder="1" applyFont="1"/>
    <xf borderId="48" fillId="0" fontId="6" numFmtId="0" xfId="0" applyBorder="1" applyFont="1"/>
    <xf borderId="0" fillId="13" fontId="24" numFmtId="0" xfId="0" applyAlignment="1" applyFill="1" applyFont="1">
      <alignment horizontal="center" readingOrder="0"/>
    </xf>
    <xf borderId="49" fillId="5" fontId="25" numFmtId="166" xfId="0" applyAlignment="1" applyBorder="1" applyFill="1" applyFont="1" applyNumberFormat="1">
      <alignment horizontal="center" readingOrder="0" vertical="center"/>
    </xf>
    <xf borderId="50" fillId="5" fontId="25" numFmtId="166" xfId="0" applyAlignment="1" applyBorder="1" applyFill="1" applyFont="1" applyNumberFormat="1">
      <alignment horizontal="center" vertical="center"/>
    </xf>
    <xf borderId="50" fillId="10" fontId="25" numFmtId="165" xfId="0" applyAlignment="1" applyBorder="1" applyFill="1" applyFont="1" applyNumberFormat="1">
      <alignment horizontal="center" vertical="center"/>
    </xf>
    <xf borderId="31" fillId="14" fontId="26" numFmtId="0" xfId="0" applyAlignment="1" applyBorder="1" applyFill="1" applyFont="1">
      <alignment horizontal="left" readingOrder="0" vertical="center"/>
    </xf>
    <xf borderId="50" fillId="10" fontId="25" numFmtId="166" xfId="0" applyAlignment="1" applyBorder="1" applyFill="1" applyFont="1" applyNumberFormat="1">
      <alignment horizontal="center" vertical="center"/>
    </xf>
    <xf borderId="34" fillId="14" fontId="26" numFmtId="166" xfId="0" applyAlignment="1" applyBorder="1" applyFill="1" applyFont="1" applyNumberFormat="1">
      <alignment horizontal="right" vertical="center"/>
    </xf>
    <xf borderId="34" fillId="14" fontId="27" numFmtId="0" xfId="0" applyAlignment="1" applyBorder="1" applyFill="1" applyFont="1">
      <alignment horizontal="center" readingOrder="0" vertical="center"/>
    </xf>
    <xf borderId="51" fillId="11" fontId="25" numFmtId="168" xfId="0" applyAlignment="1" applyBorder="1" applyFill="1" applyFont="1" applyNumberFormat="1">
      <alignment horizontal="center" vertical="center"/>
    </xf>
    <xf borderId="34" fillId="14" fontId="28" numFmtId="0" xfId="0" applyAlignment="1" applyBorder="1" applyFill="1" applyFont="1">
      <alignment horizontal="left" readingOrder="0" vertical="center"/>
    </xf>
    <xf borderId="0" fillId="4" fontId="4" numFmtId="167" xfId="0" applyAlignment="1" applyFill="1" applyFont="1" applyNumberFormat="1">
      <alignment readingOrder="0"/>
    </xf>
    <xf borderId="52" fillId="15" fontId="29" numFmtId="0" xfId="0" applyAlignment="1" applyBorder="1" applyFill="1" applyFont="1">
      <alignment horizontal="center" readingOrder="0" vertical="center"/>
    </xf>
    <xf borderId="53" fillId="16" fontId="30" numFmtId="0" xfId="0" applyAlignment="1" applyBorder="1" applyFill="1" applyFont="1">
      <alignment horizontal="center" readingOrder="0" vertical="center"/>
    </xf>
    <xf borderId="37" fillId="5" fontId="31" numFmtId="0" xfId="0" applyAlignment="1" applyBorder="1" applyFill="1" applyFont="1">
      <alignment horizontal="left" readingOrder="0" vertical="center"/>
    </xf>
    <xf borderId="54" fillId="0" fontId="6" numFmtId="0" xfId="0" applyBorder="1" applyFont="1"/>
    <xf borderId="55" fillId="17" fontId="32" numFmtId="0" xfId="0" applyAlignment="1" applyBorder="1" applyFill="1" applyFont="1">
      <alignment horizontal="center" readingOrder="0" vertical="center"/>
    </xf>
    <xf borderId="56" fillId="18" fontId="33" numFmtId="0" xfId="0" applyAlignment="1" applyBorder="1" applyFill="1" applyFont="1">
      <alignment horizontal="center" readingOrder="0" vertical="center"/>
    </xf>
    <xf borderId="57" fillId="0" fontId="6" numFmtId="0" xfId="0" applyBorder="1" applyFont="1"/>
    <xf borderId="40" fillId="5" fontId="34" numFmtId="166" xfId="0" applyAlignment="1" applyBorder="1" applyFill="1" applyFont="1" applyNumberFormat="1">
      <alignment horizontal="center" vertical="center"/>
    </xf>
    <xf borderId="40" fillId="5" fontId="23" numFmtId="0" xfId="0" applyAlignment="1" applyBorder="1" applyFill="1" applyFont="1">
      <alignment horizontal="center" readingOrder="0" vertical="center"/>
    </xf>
    <xf borderId="0" fillId="0" fontId="35" numFmtId="167" xfId="0" applyAlignment="1" applyFont="1" applyNumberFormat="1">
      <alignment horizontal="center"/>
    </xf>
    <xf borderId="40" fillId="5" fontId="36" numFmtId="0" xfId="0" applyAlignment="1" applyBorder="1" applyFill="1" applyFont="1">
      <alignment horizontal="left" vertical="center"/>
    </xf>
    <xf borderId="0" fillId="0" fontId="35" numFmtId="166" xfId="0" applyAlignment="1" applyFont="1" applyNumberFormat="1">
      <alignment horizontal="right"/>
    </xf>
    <xf borderId="0" fillId="0" fontId="7" numFmtId="166" xfId="0" applyFont="1" applyNumberFormat="1"/>
    <xf borderId="0" fillId="0" fontId="35" numFmtId="0" xfId="0" applyAlignment="1" applyFont="1">
      <alignment horizontal="left"/>
    </xf>
    <xf borderId="0" fillId="0" fontId="35" numFmtId="3" xfId="0" applyAlignment="1" applyFont="1" applyNumberFormat="1">
      <alignment horizontal="right"/>
    </xf>
    <xf borderId="58" fillId="5" fontId="37" numFmtId="0" xfId="0" applyAlignment="1" applyBorder="1" applyFill="1" applyFont="1">
      <alignment horizontal="center" readingOrder="0" vertical="center"/>
    </xf>
    <xf borderId="59" fillId="5" fontId="37" numFmtId="0" xfId="0" applyAlignment="1" applyBorder="1" applyFill="1" applyFont="1">
      <alignment horizontal="center" readingOrder="0" vertical="center"/>
    </xf>
    <xf borderId="59" fillId="10" fontId="37" numFmtId="0" xfId="0" applyAlignment="1" applyBorder="1" applyFill="1" applyFont="1">
      <alignment horizontal="center" readingOrder="0" vertical="center"/>
    </xf>
    <xf borderId="60" fillId="11" fontId="37" numFmtId="0" xfId="0" applyAlignment="1" applyBorder="1" applyFill="1" applyFont="1">
      <alignment horizontal="center" readingOrder="0" vertical="center"/>
    </xf>
    <xf borderId="61" fillId="8" fontId="10" numFmtId="0" xfId="0" applyAlignment="1" applyBorder="1" applyFill="1" applyFont="1">
      <alignment horizontal="center" vertical="center"/>
    </xf>
    <xf borderId="27" fillId="8" fontId="10" numFmtId="0" xfId="0" applyAlignment="1" applyBorder="1" applyFill="1" applyFont="1">
      <alignment horizontal="center" vertical="center"/>
    </xf>
    <xf borderId="62" fillId="15" fontId="38" numFmtId="0" xfId="0" applyAlignment="1" applyBorder="1" applyFill="1" applyFont="1">
      <alignment horizontal="center" vertical="center"/>
    </xf>
    <xf borderId="63" fillId="8" fontId="10" numFmtId="0" xfId="0" applyAlignment="1" applyBorder="1" applyFill="1" applyFont="1">
      <alignment horizontal="center" vertical="center"/>
    </xf>
    <xf borderId="64" fillId="16" fontId="39" numFmtId="0" xfId="0" applyAlignment="1" applyBorder="1" applyFill="1" applyFont="1">
      <alignment horizontal="center" vertical="center"/>
    </xf>
    <xf borderId="65" fillId="0" fontId="6" numFmtId="0" xfId="0" applyBorder="1" applyFont="1"/>
    <xf borderId="66" fillId="0" fontId="7" numFmtId="0" xfId="0" applyBorder="1" applyFont="1"/>
    <xf borderId="67" fillId="17" fontId="40" numFmtId="0" xfId="0" applyAlignment="1" applyBorder="1" applyFill="1" applyFont="1">
      <alignment horizontal="center" vertical="center"/>
    </xf>
    <xf borderId="33" fillId="0" fontId="7" numFmtId="166" xfId="0" applyBorder="1" applyFont="1" applyNumberFormat="1"/>
    <xf borderId="68" fillId="18" fontId="41" numFmtId="0" xfId="0" applyAlignment="1" applyBorder="1" applyFill="1" applyFont="1">
      <alignment horizontal="center" vertical="center"/>
    </xf>
    <xf borderId="69" fillId="0" fontId="7" numFmtId="166" xfId="0" applyBorder="1" applyFont="1" applyNumberFormat="1"/>
    <xf borderId="70" fillId="0" fontId="6" numFmtId="0" xfId="0" applyBorder="1" applyFont="1"/>
    <xf borderId="62" fillId="15" fontId="42" numFmtId="0" xfId="0" applyAlignment="1" applyBorder="1" applyFill="1" applyFont="1">
      <alignment horizontal="center" readingOrder="0" vertical="center"/>
    </xf>
    <xf borderId="64" fillId="16" fontId="43" numFmtId="0" xfId="0" applyAlignment="1" applyBorder="1" applyFill="1" applyFont="1">
      <alignment horizontal="center" readingOrder="0" vertical="center"/>
    </xf>
    <xf borderId="67" fillId="17" fontId="44" numFmtId="0" xfId="0" applyAlignment="1" applyBorder="1" applyFill="1" applyFont="1">
      <alignment horizontal="center" readingOrder="0" vertical="center"/>
    </xf>
    <xf borderId="68" fillId="18" fontId="45" numFmtId="0" xfId="0" applyAlignment="1" applyBorder="1" applyFill="1" applyFont="1">
      <alignment horizontal="center" readingOrder="0" vertical="center"/>
    </xf>
    <xf borderId="71" fillId="0" fontId="7" numFmtId="0" xfId="0" applyBorder="1" applyFont="1"/>
    <xf borderId="39" fillId="0" fontId="7" numFmtId="166" xfId="0" applyBorder="1" applyFont="1" applyNumberFormat="1"/>
    <xf borderId="72" fillId="19" fontId="17" numFmtId="0" xfId="0" applyAlignment="1" applyBorder="1" applyFill="1" applyFont="1">
      <alignment horizontal="center" readingOrder="0" vertical="center"/>
    </xf>
    <xf borderId="73" fillId="0" fontId="6" numFmtId="0" xfId="0" applyBorder="1" applyFont="1"/>
    <xf borderId="74" fillId="0" fontId="6" numFmtId="0" xfId="0" applyBorder="1" applyFont="1"/>
    <xf borderId="75" fillId="0" fontId="7" numFmtId="166" xfId="0" applyBorder="1" applyFont="1" applyNumberFormat="1"/>
    <xf borderId="76" fillId="20" fontId="17" numFmtId="0" xfId="0" applyAlignment="1" applyBorder="1" applyFill="1" applyFont="1">
      <alignment horizontal="center" readingOrder="0" vertical="center"/>
    </xf>
    <xf borderId="77" fillId="0" fontId="6" numFmtId="0" xfId="0" applyBorder="1" applyFont="1"/>
    <xf borderId="78" fillId="0" fontId="6" numFmtId="0" xfId="0" applyBorder="1" applyFont="1"/>
    <xf borderId="79" fillId="12" fontId="10" numFmtId="0" xfId="0" applyAlignment="1" applyBorder="1" applyFill="1" applyFont="1">
      <alignment horizontal="center" readingOrder="0" vertical="center"/>
    </xf>
    <xf borderId="80" fillId="12" fontId="10" numFmtId="0" xfId="0" applyAlignment="1" applyBorder="1" applyFill="1" applyFont="1">
      <alignment horizontal="center" readingOrder="0" vertical="center"/>
    </xf>
    <xf borderId="81" fillId="12" fontId="10" numFmtId="0" xfId="0" applyAlignment="1" applyBorder="1" applyFill="1" applyFont="1">
      <alignment horizontal="center" readingOrder="0" vertical="center"/>
    </xf>
    <xf borderId="82" fillId="21" fontId="46" numFmtId="0" xfId="0" applyAlignment="1" applyBorder="1" applyFill="1" applyFont="1">
      <alignment horizontal="center" readingOrder="0" vertical="center"/>
    </xf>
    <xf borderId="83" fillId="0" fontId="6" numFmtId="0" xfId="0" applyBorder="1" applyFont="1"/>
    <xf borderId="84" fillId="0" fontId="6" numFmtId="0" xfId="0" applyBorder="1" applyFont="1"/>
    <xf borderId="85" fillId="17" fontId="44" numFmtId="0" xfId="0" applyAlignment="1" applyBorder="1" applyFill="1" applyFont="1">
      <alignment horizontal="center" readingOrder="0" vertical="center"/>
    </xf>
    <xf borderId="86" fillId="0" fontId="6" numFmtId="0" xfId="0" applyBorder="1" applyFont="1"/>
    <xf borderId="87" fillId="0" fontId="6" numFmtId="0" xfId="0" applyBorder="1" applyFont="1"/>
    <xf borderId="88" fillId="22" fontId="47" numFmtId="166" xfId="0" applyAlignment="1" applyBorder="1" applyFill="1" applyFont="1" applyNumberFormat="1">
      <alignment horizontal="center" vertical="center"/>
    </xf>
    <xf borderId="89" fillId="22" fontId="47" numFmtId="166" xfId="0" applyAlignment="1" applyBorder="1" applyFill="1" applyFont="1" applyNumberFormat="1">
      <alignment horizontal="center" vertical="center"/>
    </xf>
    <xf borderId="89" fillId="22" fontId="47" numFmtId="165" xfId="0" applyAlignment="1" applyBorder="1" applyFill="1" applyFont="1" applyNumberFormat="1">
      <alignment horizontal="center" vertical="center"/>
    </xf>
    <xf borderId="89" fillId="22" fontId="47" numFmtId="169" xfId="0" applyAlignment="1" applyBorder="1" applyFill="1" applyFont="1" applyNumberFormat="1">
      <alignment horizontal="center" vertical="center"/>
    </xf>
    <xf borderId="90" fillId="22" fontId="48" numFmtId="0" xfId="0" applyAlignment="1" applyBorder="1" applyFill="1" applyFont="1">
      <alignment horizontal="center" vertical="center"/>
    </xf>
    <xf borderId="91" fillId="12" fontId="10" numFmtId="0" xfId="0" applyAlignment="1" applyBorder="1" applyFill="1" applyFont="1">
      <alignment horizontal="left" readingOrder="0" vertical="center"/>
    </xf>
    <xf borderId="92" fillId="12" fontId="10" numFmtId="0" xfId="0" applyAlignment="1" applyBorder="1" applyFill="1" applyFont="1">
      <alignment horizontal="center" readingOrder="0" vertical="center"/>
    </xf>
    <xf borderId="93" fillId="12" fontId="10" numFmtId="0" xfId="0" applyAlignment="1" applyBorder="1" applyFill="1" applyFont="1">
      <alignment horizontal="right" readingOrder="0" vertical="center"/>
    </xf>
    <xf borderId="94" fillId="23" fontId="10" numFmtId="0" xfId="0" applyAlignment="1" applyBorder="1" applyFill="1" applyFont="1">
      <alignment horizontal="left" readingOrder="0" vertical="center"/>
    </xf>
    <xf borderId="95" fillId="23" fontId="10" numFmtId="0" xfId="0" applyAlignment="1" applyBorder="1" applyFill="1" applyFont="1">
      <alignment horizontal="center" readingOrder="0" vertical="center"/>
    </xf>
    <xf borderId="96" fillId="23" fontId="10" numFmtId="0" xfId="0" applyAlignment="1" applyBorder="1" applyFill="1" applyFont="1">
      <alignment horizontal="right" readingOrder="0" vertical="center"/>
    </xf>
    <xf borderId="97" fillId="22" fontId="37" numFmtId="0" xfId="0" applyAlignment="1" applyBorder="1" applyFill="1" applyFont="1">
      <alignment horizontal="center" readingOrder="0" vertical="center"/>
    </xf>
    <xf borderId="98" fillId="22" fontId="37" numFmtId="0" xfId="0" applyAlignment="1" applyBorder="1" applyFill="1" applyFont="1">
      <alignment horizontal="center" vertical="center"/>
    </xf>
    <xf borderId="98" fillId="22" fontId="37" numFmtId="0" xfId="0" applyAlignment="1" applyBorder="1" applyFill="1" applyFont="1">
      <alignment horizontal="center" readingOrder="0" vertical="center"/>
    </xf>
    <xf borderId="99" fillId="22" fontId="37" numFmtId="0" xfId="0" applyAlignment="1" applyBorder="1" applyFill="1" applyFont="1">
      <alignment horizontal="center" vertical="center"/>
    </xf>
    <xf borderId="91" fillId="0" fontId="49" numFmtId="0" xfId="0" applyAlignment="1" applyBorder="1" applyFont="1">
      <alignment horizontal="left" vertical="center"/>
    </xf>
    <xf borderId="92" fillId="24" fontId="50" numFmtId="0" xfId="0" applyAlignment="1" applyBorder="1" applyFill="1" applyFont="1">
      <alignment horizontal="center" vertical="center"/>
    </xf>
    <xf borderId="93" fillId="0" fontId="49" numFmtId="165" xfId="0" applyAlignment="1" applyBorder="1" applyFont="1" applyNumberFormat="1">
      <alignment horizontal="right" vertical="center"/>
    </xf>
    <xf borderId="94" fillId="0" fontId="49" numFmtId="0" xfId="0" applyAlignment="1" applyBorder="1" applyFont="1">
      <alignment horizontal="left" vertical="center"/>
    </xf>
    <xf borderId="95" fillId="0" fontId="32" numFmtId="3" xfId="0" applyAlignment="1" applyBorder="1" applyFont="1" applyNumberFormat="1">
      <alignment horizontal="center" vertical="center"/>
    </xf>
    <xf borderId="96" fillId="0" fontId="49" numFmtId="165" xfId="0" applyAlignment="1" applyBorder="1" applyFont="1" applyNumberFormat="1">
      <alignment horizontal="right" vertical="center"/>
    </xf>
    <xf borderId="100" fillId="12" fontId="10" numFmtId="0" xfId="0" applyAlignment="1" applyBorder="1" applyFill="1" applyFont="1">
      <alignment horizontal="center" readingOrder="0" vertical="center"/>
    </xf>
    <xf borderId="101" fillId="12" fontId="10" numFmtId="0" xfId="0" applyAlignment="1" applyBorder="1" applyFill="1" applyFont="1">
      <alignment horizontal="left" readingOrder="0" vertical="center"/>
    </xf>
    <xf borderId="101" fillId="12" fontId="10" numFmtId="0" xfId="0" applyAlignment="1" applyBorder="1" applyFill="1" applyFont="1">
      <alignment horizontal="right" readingOrder="0" vertical="center"/>
    </xf>
    <xf borderId="102" fillId="12" fontId="10" numFmtId="0" xfId="0" applyAlignment="1" applyBorder="1" applyFill="1" applyFont="1">
      <alignment horizontal="right" readingOrder="0" vertical="center"/>
    </xf>
    <xf borderId="103" fillId="0" fontId="51" numFmtId="0" xfId="0" applyAlignment="1" applyBorder="1" applyFont="1">
      <alignment horizontal="center" readingOrder="0" vertical="center"/>
    </xf>
    <xf borderId="104" fillId="0" fontId="52" numFmtId="0" xfId="0" applyAlignment="1" applyBorder="1" applyFont="1">
      <alignment horizontal="left" vertical="center"/>
    </xf>
    <xf borderId="104" fillId="0" fontId="51" numFmtId="3" xfId="0" applyAlignment="1" applyBorder="1" applyFont="1" applyNumberFormat="1">
      <alignment horizontal="right" vertical="center"/>
    </xf>
    <xf borderId="104" fillId="0" fontId="51" numFmtId="166" xfId="0" applyAlignment="1" applyBorder="1" applyFont="1" applyNumberFormat="1">
      <alignment horizontal="right" vertical="center"/>
    </xf>
    <xf borderId="105" fillId="0" fontId="52" numFmtId="166" xfId="0" applyAlignment="1" applyBorder="1" applyFont="1" applyNumberFormat="1">
      <alignment horizontal="right" vertical="center"/>
    </xf>
    <xf borderId="106" fillId="0" fontId="51" numFmtId="0" xfId="0" applyAlignment="1" applyBorder="1" applyFont="1">
      <alignment horizontal="center" readingOrder="0" vertical="center"/>
    </xf>
    <xf borderId="107" fillId="0" fontId="52" numFmtId="0" xfId="0" applyAlignment="1" applyBorder="1" applyFont="1">
      <alignment horizontal="left" vertical="center"/>
    </xf>
    <xf borderId="107" fillId="0" fontId="51" numFmtId="3" xfId="0" applyAlignment="1" applyBorder="1" applyFont="1" applyNumberFormat="1">
      <alignment horizontal="right" vertical="center"/>
    </xf>
    <xf borderId="107" fillId="0" fontId="51" numFmtId="166" xfId="0" applyAlignment="1" applyBorder="1" applyFont="1" applyNumberFormat="1">
      <alignment horizontal="right" vertical="center"/>
    </xf>
    <xf borderId="108" fillId="0" fontId="52" numFmtId="166" xfId="0" applyAlignment="1" applyBorder="1" applyFont="1" applyNumberFormat="1">
      <alignment horizontal="right" vertical="center"/>
    </xf>
    <xf borderId="109" fillId="0" fontId="49" numFmtId="0" xfId="0" applyAlignment="1" applyBorder="1" applyFont="1">
      <alignment horizontal="left" vertical="center"/>
    </xf>
    <xf borderId="110" fillId="0" fontId="32" numFmtId="3" xfId="0" applyAlignment="1" applyBorder="1" applyFont="1" applyNumberFormat="1">
      <alignment horizontal="center" vertical="center"/>
    </xf>
    <xf borderId="111" fillId="0" fontId="49" numFmtId="165" xfId="0" applyAlignment="1" applyBorder="1" applyFont="1" applyNumberFormat="1">
      <alignment horizontal="right" vertical="center"/>
    </xf>
    <xf borderId="92" fillId="16" fontId="53" numFmtId="0" xfId="0" applyAlignment="1" applyBorder="1" applyFill="1" applyFont="1">
      <alignment horizontal="center" vertical="center"/>
    </xf>
    <xf borderId="101" fillId="12" fontId="10" numFmtId="0" xfId="0" applyAlignment="1" applyBorder="1" applyFill="1" applyFont="1">
      <alignment horizontal="center" readingOrder="0" vertical="center"/>
    </xf>
    <xf borderId="102" fillId="12" fontId="10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112" fillId="25" fontId="17" numFmtId="0" xfId="0" applyAlignment="1" applyBorder="1" applyFill="1" applyFont="1">
      <alignment horizontal="center" readingOrder="0" vertical="center"/>
    </xf>
    <xf borderId="113" fillId="0" fontId="6" numFmtId="0" xfId="0" applyBorder="1" applyFont="1"/>
    <xf borderId="114" fillId="0" fontId="6" numFmtId="0" xfId="0" applyBorder="1" applyFont="1"/>
    <xf borderId="103" fillId="0" fontId="51" numFmtId="167" xfId="0" applyAlignment="1" applyBorder="1" applyFont="1" applyNumberFormat="1">
      <alignment horizontal="center" vertical="center"/>
    </xf>
    <xf borderId="104" fillId="0" fontId="51" numFmtId="0" xfId="0" applyAlignment="1" applyBorder="1" applyFont="1">
      <alignment horizontal="center" vertical="center"/>
    </xf>
    <xf borderId="104" fillId="0" fontId="51" numFmtId="0" xfId="0" applyAlignment="1" applyBorder="1" applyFont="1">
      <alignment horizontal="left" vertical="center"/>
    </xf>
    <xf borderId="105" fillId="0" fontId="54" numFmtId="0" xfId="0" applyAlignment="1" applyBorder="1" applyFont="1">
      <alignment horizontal="center" vertical="center"/>
    </xf>
    <xf borderId="115" fillId="18" fontId="45" numFmtId="0" xfId="0" applyAlignment="1" applyBorder="1" applyFill="1" applyFont="1">
      <alignment horizontal="center" readingOrder="0" vertical="center"/>
    </xf>
    <xf borderId="116" fillId="0" fontId="6" numFmtId="0" xfId="0" applyBorder="1" applyFont="1"/>
    <xf borderId="117" fillId="0" fontId="6" numFmtId="0" xfId="0" applyBorder="1" applyFont="1"/>
    <xf borderId="118" fillId="26" fontId="10" numFmtId="0" xfId="0" applyAlignment="1" applyBorder="1" applyFill="1" applyFont="1">
      <alignment horizontal="left" readingOrder="0" vertical="center"/>
    </xf>
    <xf borderId="119" fillId="26" fontId="10" numFmtId="0" xfId="0" applyAlignment="1" applyBorder="1" applyFill="1" applyFont="1">
      <alignment horizontal="center" readingOrder="0" vertical="center"/>
    </xf>
    <xf borderId="120" fillId="26" fontId="10" numFmtId="0" xfId="0" applyAlignment="1" applyBorder="1" applyFill="1" applyFont="1">
      <alignment horizontal="right" readingOrder="0" vertical="center"/>
    </xf>
    <xf borderId="106" fillId="0" fontId="51" numFmtId="167" xfId="0" applyAlignment="1" applyBorder="1" applyFont="1" applyNumberFormat="1">
      <alignment horizontal="center" vertical="center"/>
    </xf>
    <xf borderId="107" fillId="0" fontId="51" numFmtId="0" xfId="0" applyAlignment="1" applyBorder="1" applyFont="1">
      <alignment horizontal="center" vertical="center"/>
    </xf>
    <xf borderId="107" fillId="0" fontId="51" numFmtId="0" xfId="0" applyAlignment="1" applyBorder="1" applyFont="1">
      <alignment horizontal="left" vertical="center"/>
    </xf>
    <xf borderId="108" fillId="0" fontId="54" numFmtId="0" xfId="0" applyAlignment="1" applyBorder="1" applyFont="1">
      <alignment horizontal="center" vertical="center"/>
    </xf>
    <xf borderId="118" fillId="0" fontId="49" numFmtId="0" xfId="0" applyAlignment="1" applyBorder="1" applyFont="1">
      <alignment horizontal="left" vertical="center"/>
    </xf>
    <xf borderId="119" fillId="0" fontId="33" numFmtId="3" xfId="0" applyAlignment="1" applyBorder="1" applyFont="1" applyNumberFormat="1">
      <alignment horizontal="center" vertical="center"/>
    </xf>
    <xf borderId="120" fillId="0" fontId="49" numFmtId="165" xfId="0" applyAlignment="1" applyBorder="1" applyFont="1" applyNumberFormat="1">
      <alignment horizontal="right" vertical="center"/>
    </xf>
    <xf borderId="121" fillId="0" fontId="49" numFmtId="0" xfId="0" applyAlignment="1" applyBorder="1" applyFont="1">
      <alignment horizontal="left" vertical="center"/>
    </xf>
    <xf borderId="122" fillId="16" fontId="53" numFmtId="0" xfId="0" applyAlignment="1" applyBorder="1" applyFill="1" applyFont="1">
      <alignment horizontal="center" vertical="center"/>
    </xf>
    <xf borderId="123" fillId="0" fontId="49" numFmtId="165" xfId="0" applyAlignment="1" applyBorder="1" applyFont="1" applyNumberFormat="1">
      <alignment horizontal="right" vertical="center"/>
    </xf>
    <xf borderId="124" fillId="0" fontId="49" numFmtId="0" xfId="0" applyAlignment="1" applyBorder="1" applyFont="1">
      <alignment horizontal="left" vertical="center"/>
    </xf>
    <xf borderId="125" fillId="0" fontId="33" numFmtId="3" xfId="0" applyAlignment="1" applyBorder="1" applyFont="1" applyNumberFormat="1">
      <alignment horizontal="center" vertical="center"/>
    </xf>
    <xf borderId="126" fillId="0" fontId="49" numFmtId="165" xfId="0" applyAlignment="1" applyBorder="1" applyFont="1" applyNumberFormat="1">
      <alignment horizontal="right" vertical="center"/>
    </xf>
    <xf borderId="0" fillId="27" fontId="4" numFmtId="0" xfId="0" applyAlignment="1" applyFill="1" applyFont="1">
      <alignment readingOrder="0"/>
    </xf>
    <xf borderId="0" fillId="27" fontId="4" numFmtId="0" xfId="0" applyFill="1" applyFont="1"/>
    <xf borderId="0" fillId="0" fontId="2" numFmtId="0" xfId="0" applyAlignment="1" applyFont="1">
      <alignment readingOrder="0"/>
    </xf>
    <xf borderId="0" fillId="0" fontId="4" numFmtId="167" xfId="0" applyAlignment="1" applyFont="1" applyNumberFormat="1">
      <alignment readingOrder="0"/>
    </xf>
    <xf borderId="0" fillId="0" fontId="4" numFmtId="164" xfId="0" applyFont="1" applyNumberFormat="1"/>
    <xf borderId="0" fillId="27" fontId="55" numFmtId="0" xfId="0" applyAlignment="1" applyFill="1" applyFont="1">
      <alignment horizontal="right" vertical="bottom"/>
    </xf>
    <xf borderId="127" fillId="0" fontId="56" numFmtId="0" xfId="0" applyAlignment="1" applyBorder="1" applyFont="1">
      <alignment readingOrder="0" shrinkToFit="0" vertical="top" wrapText="1"/>
    </xf>
    <xf borderId="127" fillId="0" fontId="56" numFmtId="0" xfId="0" applyAlignment="1" applyBorder="1" applyFont="1">
      <alignment horizontal="right" readingOrder="0" shrinkToFit="0" vertical="top" wrapText="1"/>
    </xf>
    <xf borderId="128" fillId="0" fontId="56" numFmtId="0" xfId="0" applyAlignment="1" applyBorder="1" applyFont="1">
      <alignment readingOrder="0" shrinkToFit="0" vertical="top" wrapText="1"/>
    </xf>
    <xf borderId="128" fillId="0" fontId="56" numFmtId="0" xfId="0" applyAlignment="1" applyBorder="1" applyFont="1">
      <alignment horizontal="right" readingOrder="0" shrinkToFit="0" vertical="top" wrapText="1"/>
    </xf>
    <xf borderId="128" fillId="0" fontId="57" numFmtId="0" xfId="0" applyAlignment="1" applyBorder="1" applyFont="1">
      <alignment horizontal="left" readingOrder="0" vertical="top"/>
    </xf>
    <xf borderId="128" fillId="0" fontId="57" numFmtId="0" xfId="0" applyAlignment="1" applyBorder="1" applyFont="1">
      <alignment horizontal="right" readingOrder="0" vertical="top"/>
    </xf>
    <xf borderId="127" fillId="0" fontId="57" numFmtId="0" xfId="0" applyAlignment="1" applyBorder="1" applyFont="1">
      <alignment horizontal="left" readingOrder="0" vertical="top"/>
    </xf>
    <xf borderId="127" fillId="0" fontId="57" numFmtId="0" xfId="0" applyAlignment="1" applyBorder="1" applyFont="1">
      <alignment horizontal="right" readingOrder="0" vertical="top"/>
    </xf>
    <xf borderId="128" fillId="0" fontId="56" numFmtId="0" xfId="0" applyAlignment="1" applyBorder="1" applyFont="1">
      <alignment shrinkToFit="0" vertical="top" wrapText="1"/>
    </xf>
    <xf borderId="127" fillId="0" fontId="56" numFmtId="0" xfId="0" applyAlignment="1" applyBorder="1" applyFont="1">
      <alignment shrinkToFit="0" vertical="top" wrapText="1"/>
    </xf>
    <xf borderId="127" fillId="0" fontId="56" numFmtId="0" xfId="0" applyAlignment="1" applyBorder="1" applyFont="1">
      <alignment horizontal="right" shrinkToFit="0" vertical="top" wrapText="1"/>
    </xf>
    <xf borderId="128" fillId="0" fontId="56" numFmtId="0" xfId="0" applyAlignment="1" applyBorder="1" applyFont="1">
      <alignment shrinkToFit="0" vertical="top" wrapText="1"/>
    </xf>
    <xf borderId="128" fillId="0" fontId="56" numFmtId="0" xfId="0" applyAlignment="1" applyBorder="1" applyFont="1">
      <alignment horizontal="right" shrinkToFit="0" vertical="top" wrapText="1"/>
    </xf>
    <xf borderId="0" fillId="0" fontId="58" numFmtId="0" xfId="0" applyFont="1"/>
    <xf borderId="0" fillId="28" fontId="3" numFmtId="0" xfId="0" applyAlignment="1" applyFill="1" applyFont="1">
      <alignment horizontal="center"/>
    </xf>
    <xf borderId="0" fillId="0" fontId="4" numFmtId="166" xfId="0" applyAlignment="1" applyFont="1" applyNumberFormat="1">
      <alignment readingOrder="0"/>
    </xf>
    <xf borderId="0" fillId="29" fontId="3" numFmtId="0" xfId="0" applyAlignment="1" applyFill="1" applyFont="1">
      <alignment horizontal="center"/>
    </xf>
    <xf borderId="0" fillId="30" fontId="59" numFmtId="0" xfId="0" applyAlignment="1" applyFill="1" applyFont="1">
      <alignment horizontal="center" readingOrder="0"/>
    </xf>
    <xf borderId="0" fillId="30" fontId="59" numFmtId="0" xfId="0" applyAlignment="1" applyFill="1" applyFont="1">
      <alignment horizontal="center"/>
    </xf>
    <xf borderId="0" fillId="13" fontId="2" numFmtId="0" xfId="0" applyAlignment="1" applyFill="1" applyFont="1">
      <alignment readingOrder="0"/>
    </xf>
    <xf borderId="0" fillId="0" fontId="4" numFmtId="170" xfId="0" applyAlignment="1" applyFont="1" applyNumberFormat="1">
      <alignment readingOrder="0"/>
    </xf>
    <xf borderId="0" fillId="0" fontId="4" numFmtId="171" xfId="0" applyAlignment="1" applyFont="1" applyNumberFormat="1">
      <alignment horizontal="right"/>
    </xf>
    <xf borderId="0" fillId="0" fontId="4" numFmtId="0" xfId="0" applyAlignment="1" applyFont="1">
      <alignment readingOrder="0"/>
    </xf>
    <xf borderId="0" fillId="27" fontId="55" numFmtId="0" xfId="0" applyAlignment="1" applyFill="1" applyFont="1">
      <alignment horizontal="right" vertical="bottom"/>
    </xf>
    <xf borderId="0" fillId="0" fontId="4" numFmtId="166" xfId="0" applyFont="1" applyNumberFormat="1"/>
    <xf quotePrefix="1" borderId="0" fillId="0" fontId="4" numFmtId="0" xfId="0" applyAlignment="1" applyFont="1">
      <alignment readingOrder="0"/>
    </xf>
    <xf borderId="0" fillId="31" fontId="2" numFmtId="0" xfId="0" applyAlignment="1" applyFill="1" applyFont="1">
      <alignment readingOrder="0"/>
    </xf>
    <xf borderId="129" fillId="32" fontId="60" numFmtId="0" xfId="0" applyAlignment="1" applyBorder="1" applyFill="1" applyFont="1">
      <alignment horizontal="center" readingOrder="0" vertical="center"/>
    </xf>
    <xf borderId="130" fillId="0" fontId="57" numFmtId="167" xfId="0" applyAlignment="1" applyBorder="1" applyFont="1" applyNumberFormat="1">
      <alignment horizontal="left" readingOrder="0" vertical="top"/>
    </xf>
    <xf borderId="131" fillId="0" fontId="6" numFmtId="0" xfId="0" applyBorder="1" applyFont="1"/>
    <xf borderId="132" fillId="0" fontId="6" numFmtId="0" xfId="0" applyBorder="1" applyFont="1"/>
    <xf borderId="133" fillId="0" fontId="57" numFmtId="167" xfId="0" applyAlignment="1" applyBorder="1" applyFont="1" applyNumberFormat="1">
      <alignment horizontal="left" readingOrder="0" vertical="top"/>
    </xf>
    <xf borderId="134" fillId="33" fontId="61" numFmtId="0" xfId="0" applyAlignment="1" applyBorder="1" applyFill="1" applyFont="1">
      <alignment readingOrder="0" vertical="center"/>
    </xf>
    <xf borderId="135" fillId="33" fontId="4" numFmtId="0" xfId="0" applyAlignment="1" applyBorder="1" applyFill="1" applyFont="1">
      <alignment readingOrder="0" vertical="center"/>
    </xf>
    <xf borderId="136" fillId="0" fontId="6" numFmtId="0" xfId="0" applyBorder="1" applyFont="1"/>
    <xf borderId="137" fillId="34" fontId="61" numFmtId="0" xfId="0" applyAlignment="1" applyBorder="1" applyFill="1" applyFont="1">
      <alignment readingOrder="0" vertical="center"/>
    </xf>
    <xf borderId="138" fillId="34" fontId="61" numFmtId="166" xfId="0" applyAlignment="1" applyBorder="1" applyFill="1" applyFont="1" applyNumberFormat="1">
      <alignment horizontal="right" vertical="center"/>
    </xf>
    <xf borderId="139" fillId="0" fontId="6" numFmtId="0" xfId="0" applyBorder="1" applyFont="1"/>
    <xf borderId="140" fillId="34" fontId="62" numFmtId="0" xfId="0" applyAlignment="1" applyBorder="1" applyFill="1" applyFont="1">
      <alignment readingOrder="0" vertical="center"/>
    </xf>
    <xf borderId="0" fillId="0" fontId="63" numFmtId="0" xfId="0" applyAlignment="1" applyFont="1">
      <alignment readingOrder="0" vertical="center"/>
    </xf>
    <xf borderId="141" fillId="34" fontId="4" numFmtId="3" xfId="0" applyAlignment="1" applyBorder="1" applyFill="1" applyFont="1" applyNumberFormat="1">
      <alignment horizontal="right" vertical="center"/>
    </xf>
    <xf borderId="142" fillId="35" fontId="64" numFmtId="0" xfId="0" applyAlignment="1" applyBorder="1" applyFill="1" applyFont="1">
      <alignment horizontal="center" readingOrder="0" vertical="center"/>
    </xf>
    <xf borderId="143" fillId="0" fontId="6" numFmtId="0" xfId="0" applyBorder="1" applyFont="1"/>
    <xf borderId="144" fillId="0" fontId="6" numFmtId="0" xfId="0" applyBorder="1" applyFont="1"/>
    <xf borderId="145" fillId="36" fontId="65" numFmtId="0" xfId="0" applyAlignment="1" applyBorder="1" applyFill="1" applyFont="1">
      <alignment horizontal="center" readingOrder="0" vertical="center"/>
    </xf>
    <xf borderId="146" fillId="0" fontId="6" numFmtId="0" xfId="0" applyBorder="1" applyFont="1"/>
    <xf borderId="147" fillId="37" fontId="66" numFmtId="0" xfId="0" applyAlignment="1" applyBorder="1" applyFill="1" applyFont="1">
      <alignment horizontal="center" readingOrder="0" vertical="center"/>
    </xf>
    <xf borderId="148" fillId="0" fontId="6" numFmtId="0" xfId="0" applyBorder="1" applyFont="1"/>
    <xf borderId="141" fillId="34" fontId="4" numFmtId="166" xfId="0" applyAlignment="1" applyBorder="1" applyFill="1" applyFont="1" applyNumberFormat="1">
      <alignment horizontal="right" vertical="center"/>
    </xf>
    <xf borderId="0" fillId="0" fontId="67" numFmtId="0" xfId="0" applyAlignment="1" applyFont="1">
      <alignment readingOrder="0" vertical="center"/>
    </xf>
    <xf borderId="149" fillId="38" fontId="68" numFmtId="172" xfId="0" applyAlignment="1" applyBorder="1" applyFill="1" applyFont="1" applyNumberFormat="1">
      <alignment horizontal="center" vertical="center"/>
    </xf>
    <xf borderId="150" fillId="0" fontId="6" numFmtId="0" xfId="0" applyBorder="1" applyFont="1"/>
    <xf borderId="141" fillId="34" fontId="4" numFmtId="165" xfId="0" applyAlignment="1" applyBorder="1" applyFill="1" applyFont="1" applyNumberFormat="1">
      <alignment horizontal="right" vertical="center"/>
    </xf>
    <xf borderId="151" fillId="38" fontId="68" numFmtId="172" xfId="0" applyAlignment="1" applyBorder="1" applyFill="1" applyFont="1" applyNumberFormat="1">
      <alignment horizontal="center" vertical="center"/>
    </xf>
    <xf borderId="152" fillId="34" fontId="69" numFmtId="0" xfId="0" applyAlignment="1" applyBorder="1" applyFill="1" applyFont="1">
      <alignment readingOrder="0" vertical="center"/>
    </xf>
    <xf borderId="153" fillId="0" fontId="6" numFmtId="0" xfId="0" applyBorder="1" applyFont="1"/>
    <xf borderId="154" fillId="34" fontId="69" numFmtId="166" xfId="0" applyAlignment="1" applyBorder="1" applyFill="1" applyFont="1" applyNumberFormat="1">
      <alignment horizontal="right" vertical="center"/>
    </xf>
    <xf borderId="155" fillId="38" fontId="68" numFmtId="172" xfId="0" applyAlignment="1" applyBorder="1" applyFill="1" applyFont="1" applyNumberFormat="1">
      <alignment horizontal="center" vertical="center"/>
    </xf>
    <xf borderId="156" fillId="0" fontId="6" numFmtId="0" xfId="0" applyBorder="1" applyFont="1"/>
    <xf borderId="157" fillId="0" fontId="6" numFmtId="0" xfId="0" applyBorder="1" applyFont="1"/>
    <xf borderId="0" fillId="0" fontId="70" numFmtId="0" xfId="0" applyAlignment="1" applyFont="1">
      <alignment readingOrder="0" vertical="center"/>
    </xf>
    <xf borderId="0" fillId="0" fontId="71" numFmtId="0" xfId="0" applyAlignment="1" applyFont="1">
      <alignment vertical="center"/>
    </xf>
    <xf borderId="158" fillId="32" fontId="60" numFmtId="0" xfId="0" applyAlignment="1" applyBorder="1" applyFill="1" applyFont="1">
      <alignment horizontal="left" readingOrder="0" vertical="center"/>
    </xf>
    <xf borderId="159" fillId="38" fontId="72" numFmtId="0" xfId="0" applyAlignment="1" applyBorder="1" applyFill="1" applyFont="1">
      <alignment horizontal="center" readingOrder="0" vertical="center"/>
    </xf>
    <xf borderId="160" fillId="32" fontId="60" numFmtId="0" xfId="0" applyAlignment="1" applyBorder="1" applyFill="1" applyFont="1">
      <alignment horizontal="center" readingOrder="0" vertical="center"/>
    </xf>
    <xf borderId="161" fillId="0" fontId="6" numFmtId="0" xfId="0" applyBorder="1" applyFont="1"/>
    <xf borderId="162" fillId="32" fontId="60" numFmtId="0" xfId="0" applyAlignment="1" applyBorder="1" applyFill="1" applyFont="1">
      <alignment horizontal="center" readingOrder="0" vertical="center"/>
    </xf>
    <xf borderId="163" fillId="38" fontId="72" numFmtId="0" xfId="0" applyAlignment="1" applyBorder="1" applyFill="1" applyFont="1">
      <alignment horizontal="center" readingOrder="0" vertical="center"/>
    </xf>
    <xf borderId="164" fillId="0" fontId="6" numFmtId="0" xfId="0" applyBorder="1" applyFont="1"/>
    <xf borderId="165" fillId="38" fontId="72" numFmtId="0" xfId="0" applyAlignment="1" applyBorder="1" applyFill="1" applyFont="1">
      <alignment horizontal="center" readingOrder="0" vertical="center"/>
    </xf>
    <xf borderId="166" fillId="4" fontId="62" numFmtId="0" xfId="0" applyAlignment="1" applyBorder="1" applyFill="1" applyFont="1">
      <alignment horizontal="left" readingOrder="0" vertical="center"/>
    </xf>
    <xf borderId="167" fillId="0" fontId="6" numFmtId="0" xfId="0" applyBorder="1" applyFont="1"/>
    <xf borderId="168" fillId="39" fontId="60" numFmtId="0" xfId="0" applyAlignment="1" applyBorder="1" applyFill="1" applyFont="1">
      <alignment horizontal="left" readingOrder="0" vertical="center"/>
    </xf>
    <xf borderId="169" fillId="39" fontId="60" numFmtId="0" xfId="0" applyAlignment="1" applyBorder="1" applyFill="1" applyFont="1">
      <alignment horizontal="center" readingOrder="0" vertical="center"/>
    </xf>
    <xf borderId="104" fillId="4" fontId="62" numFmtId="3" xfId="0" applyAlignment="1" applyBorder="1" applyFill="1" applyFont="1" applyNumberFormat="1">
      <alignment horizontal="right" vertical="center"/>
    </xf>
    <xf borderId="169" fillId="39" fontId="60" numFmtId="0" xfId="0" applyAlignment="1" applyBorder="1" applyFill="1" applyFont="1">
      <alignment horizontal="right" readingOrder="0" vertical="center"/>
    </xf>
    <xf borderId="169" fillId="39" fontId="60" numFmtId="0" xfId="0" applyAlignment="1" applyBorder="1" applyFill="1" applyFont="1">
      <alignment horizontal="left" readingOrder="0" vertical="center"/>
    </xf>
    <xf borderId="170" fillId="4" fontId="62" numFmtId="166" xfId="0" applyAlignment="1" applyBorder="1" applyFill="1" applyFont="1" applyNumberFormat="1">
      <alignment horizontal="right" vertical="center"/>
    </xf>
    <xf borderId="171" fillId="39" fontId="60" numFmtId="0" xfId="0" applyAlignment="1" applyBorder="1" applyFill="1" applyFont="1">
      <alignment horizontal="left" readingOrder="0" vertical="center"/>
    </xf>
    <xf borderId="172" fillId="0" fontId="62" numFmtId="173" xfId="0" applyAlignment="1" applyBorder="1" applyFont="1" applyNumberFormat="1">
      <alignment horizontal="left" readingOrder="0" vertical="center"/>
    </xf>
    <xf borderId="173" fillId="0" fontId="62" numFmtId="167" xfId="0" applyAlignment="1" applyBorder="1" applyFont="1" applyNumberFormat="1">
      <alignment horizontal="center" readingOrder="0" vertical="center"/>
    </xf>
    <xf borderId="166" fillId="40" fontId="62" numFmtId="0" xfId="0" applyAlignment="1" applyBorder="1" applyFill="1" applyFont="1">
      <alignment horizontal="left" readingOrder="0" vertical="center"/>
    </xf>
    <xf borderId="173" fillId="0" fontId="62" numFmtId="172" xfId="0" applyAlignment="1" applyBorder="1" applyFont="1" applyNumberFormat="1">
      <alignment horizontal="right" readingOrder="0" vertical="center"/>
    </xf>
    <xf borderId="104" fillId="40" fontId="62" numFmtId="3" xfId="0" applyAlignment="1" applyBorder="1" applyFill="1" applyFont="1" applyNumberFormat="1">
      <alignment horizontal="right" vertical="center"/>
    </xf>
    <xf borderId="170" fillId="40" fontId="62" numFmtId="166" xfId="0" applyAlignment="1" applyBorder="1" applyFill="1" applyFont="1" applyNumberFormat="1">
      <alignment horizontal="right" vertical="center"/>
    </xf>
    <xf borderId="173" fillId="0" fontId="62" numFmtId="172" xfId="0" applyAlignment="1" applyBorder="1" applyFont="1" applyNumberFormat="1">
      <alignment horizontal="right" vertical="center"/>
    </xf>
    <xf borderId="173" fillId="0" fontId="62" numFmtId="0" xfId="0" applyAlignment="1" applyBorder="1" applyFont="1">
      <alignment horizontal="center" readingOrder="0" vertical="center"/>
    </xf>
    <xf borderId="173" fillId="0" fontId="62" numFmtId="0" xfId="0" applyAlignment="1" applyBorder="1" applyFont="1">
      <alignment horizontal="left" readingOrder="0" vertical="center"/>
    </xf>
    <xf borderId="174" fillId="0" fontId="62" numFmtId="0" xfId="0" applyAlignment="1" applyBorder="1" applyFont="1">
      <alignment horizontal="left" readingOrder="0" vertical="center"/>
    </xf>
    <xf borderId="127" fillId="0" fontId="56" numFmtId="0" xfId="0" applyAlignment="1" applyBorder="1" applyFont="1">
      <alignment shrinkToFit="0" vertical="top" wrapText="1"/>
    </xf>
    <xf borderId="175" fillId="4" fontId="62" numFmtId="0" xfId="0" applyAlignment="1" applyBorder="1" applyFill="1" applyFont="1">
      <alignment horizontal="left" readingOrder="0" vertical="center"/>
    </xf>
    <xf borderId="176" fillId="4" fontId="62" numFmtId="3" xfId="0" applyAlignment="1" applyBorder="1" applyFill="1" applyFont="1" applyNumberFormat="1">
      <alignment horizontal="right" vertical="center"/>
    </xf>
    <xf borderId="177" fillId="4" fontId="62" numFmtId="166" xfId="0" applyAlignment="1" applyBorder="1" applyFill="1" applyFont="1" applyNumberFormat="1">
      <alignment horizontal="right" vertical="center"/>
    </xf>
    <xf borderId="0" fillId="0" fontId="4" numFmtId="172" xfId="0" applyFont="1" applyNumberFormat="1"/>
    <xf borderId="178" fillId="41" fontId="61" numFmtId="0" xfId="0" applyAlignment="1" applyBorder="1" applyFill="1" applyFont="1">
      <alignment horizontal="left" readingOrder="0" vertical="center"/>
    </xf>
    <xf borderId="179" fillId="41" fontId="61" numFmtId="3" xfId="0" applyAlignment="1" applyBorder="1" applyFill="1" applyFont="1" applyNumberFormat="1">
      <alignment horizontal="right" vertical="center"/>
    </xf>
    <xf borderId="180" fillId="41" fontId="61" numFmtId="166" xfId="0" applyAlignment="1" applyBorder="1" applyFill="1" applyFont="1" applyNumberFormat="1">
      <alignment horizontal="right" vertical="center"/>
    </xf>
    <xf borderId="0" fillId="0" fontId="73" numFmtId="0" xfId="0" applyAlignment="1" applyFont="1">
      <alignment readingOrder="0"/>
    </xf>
    <xf borderId="0" fillId="0" fontId="73" numFmtId="0" xfId="0" applyFont="1"/>
    <xf borderId="0" fillId="0" fontId="74" numFmtId="0" xfId="0" applyAlignment="1" applyFont="1">
      <alignment readingOrder="0"/>
    </xf>
    <xf borderId="0" fillId="0" fontId="74" numFmtId="0" xfId="0" applyFont="1"/>
    <xf borderId="0" fillId="42" fontId="75" numFmtId="0" xfId="0" applyAlignment="1" applyFill="1" applyFont="1">
      <alignment horizontal="center" readingOrder="0" vertical="center"/>
    </xf>
    <xf borderId="0" fillId="43" fontId="76" numFmtId="0" xfId="0" applyAlignment="1" applyFill="1" applyFont="1">
      <alignment horizontal="center" readingOrder="0" vertical="center"/>
    </xf>
    <xf borderId="0" fillId="44" fontId="77" numFmtId="0" xfId="0" applyAlignment="1" applyFill="1" applyFont="1">
      <alignment horizontal="center" readingOrder="0" vertical="center"/>
    </xf>
    <xf borderId="0" fillId="45" fontId="78" numFmtId="0" xfId="0" applyAlignment="1" applyFill="1" applyFont="1">
      <alignment horizontal="center" readingOrder="0" vertical="center"/>
    </xf>
    <xf borderId="0" fillId="46" fontId="79" numFmtId="0" xfId="0" applyAlignment="1" applyFill="1" applyFont="1">
      <alignment horizontal="center" readingOrder="0" vertical="center"/>
    </xf>
    <xf borderId="0" fillId="42" fontId="80" numFmtId="0" xfId="0" applyAlignment="1" applyFill="1" applyFont="1">
      <alignment horizontal="center" vertical="center"/>
    </xf>
    <xf borderId="0" fillId="43" fontId="81" numFmtId="165" xfId="0" applyAlignment="1" applyFill="1" applyFont="1" applyNumberFormat="1">
      <alignment horizontal="center" vertical="center"/>
    </xf>
    <xf borderId="0" fillId="44" fontId="82" numFmtId="3" xfId="0" applyAlignment="1" applyFill="1" applyFont="1" applyNumberFormat="1">
      <alignment horizontal="center" vertical="center"/>
    </xf>
    <xf borderId="0" fillId="45" fontId="83" numFmtId="3" xfId="0" applyAlignment="1" applyFill="1" applyFont="1" applyNumberFormat="1">
      <alignment horizontal="center" vertical="center"/>
    </xf>
    <xf borderId="0" fillId="46" fontId="84" numFmtId="171" xfId="0" applyAlignment="1" applyFill="1" applyFont="1" applyNumberFormat="1">
      <alignment horizontal="center" vertical="center"/>
    </xf>
    <xf borderId="0" fillId="47" fontId="85" numFmtId="0" xfId="0" applyAlignment="1" applyFill="1" applyFont="1">
      <alignment horizontal="center" readingOrder="0" vertical="center"/>
    </xf>
    <xf borderId="0" fillId="47" fontId="85" numFmtId="0" xfId="0" applyAlignment="1" applyFill="1" applyFont="1">
      <alignment horizontal="center" vertical="center"/>
    </xf>
    <xf borderId="0" fillId="44" fontId="86" numFmtId="0" xfId="0" applyAlignment="1" applyFill="1" applyFont="1">
      <alignment horizontal="center" readingOrder="0" vertical="center"/>
    </xf>
    <xf borderId="0" fillId="44" fontId="86" numFmtId="0" xfId="0" applyAlignment="1" applyFill="1" applyFont="1">
      <alignment horizontal="center" vertical="center"/>
    </xf>
    <xf borderId="0" fillId="45" fontId="78" numFmtId="0" xfId="0" applyAlignment="1" applyFill="1" applyFont="1">
      <alignment horizontal="center" vertical="center"/>
    </xf>
    <xf borderId="0" fillId="48" fontId="87" numFmtId="0" xfId="0" applyAlignment="1" applyFill="1" applyFont="1">
      <alignment horizontal="center" readingOrder="0" vertical="center"/>
    </xf>
    <xf borderId="0" fillId="48" fontId="87" numFmtId="0" xfId="0" applyAlignment="1" applyFill="1" applyFont="1">
      <alignment horizontal="center" vertical="center"/>
    </xf>
    <xf borderId="181" fillId="49" fontId="60" numFmtId="0" xfId="0" applyAlignment="1" applyBorder="1" applyFill="1" applyFont="1">
      <alignment horizontal="center" readingOrder="0" vertical="center"/>
    </xf>
    <xf borderId="182" fillId="49" fontId="60" numFmtId="0" xfId="0" applyAlignment="1" applyBorder="1" applyFill="1" applyFont="1">
      <alignment horizontal="center" readingOrder="0" vertical="center"/>
    </xf>
    <xf borderId="183" fillId="49" fontId="60" numFmtId="0" xfId="0" applyAlignment="1" applyBorder="1" applyFill="1" applyFont="1">
      <alignment horizontal="center" readingOrder="0" vertical="center"/>
    </xf>
    <xf borderId="184" fillId="0" fontId="4" numFmtId="0" xfId="0" applyAlignment="1" applyBorder="1" applyFont="1">
      <alignment horizontal="left" vertical="center"/>
    </xf>
    <xf borderId="185" fillId="0" fontId="4" numFmtId="171" xfId="0" applyAlignment="1" applyBorder="1" applyFont="1" applyNumberFormat="1">
      <alignment horizontal="right" vertical="center"/>
    </xf>
    <xf borderId="185" fillId="0" fontId="4" numFmtId="165" xfId="0" applyAlignment="1" applyBorder="1" applyFont="1" applyNumberFormat="1">
      <alignment horizontal="right" vertical="center"/>
    </xf>
    <xf borderId="185" fillId="0" fontId="4" numFmtId="3" xfId="0" applyAlignment="1" applyBorder="1" applyFont="1" applyNumberFormat="1">
      <alignment horizontal="right" vertical="center"/>
    </xf>
    <xf borderId="185" fillId="0" fontId="2" numFmtId="0" xfId="0" applyAlignment="1" applyBorder="1" applyFont="1">
      <alignment horizontal="center" vertical="center"/>
    </xf>
    <xf borderId="186" fillId="0" fontId="88" numFmtId="0" xfId="0" applyAlignment="1" applyBorder="1" applyFont="1">
      <alignment horizontal="left" vertical="center"/>
    </xf>
    <xf borderId="0" fillId="4" fontId="4" numFmtId="167" xfId="0" applyFill="1" applyFont="1" applyNumberFormat="1"/>
    <xf borderId="0" fillId="4" fontId="4" numFmtId="0" xfId="0" applyFill="1" applyFont="1"/>
    <xf borderId="0" fillId="4" fontId="4" numFmtId="166" xfId="0" applyFill="1" applyFont="1" applyNumberFormat="1"/>
    <xf borderId="0" fillId="0" fontId="4" numFmtId="167" xfId="0" applyAlignment="1" applyFont="1" applyNumberFormat="1">
      <alignment horizontal="right" readingOrder="0"/>
    </xf>
    <xf borderId="0" fillId="0" fontId="4" numFmtId="166" xfId="0" applyAlignment="1" applyFont="1" applyNumberFormat="1">
      <alignment horizontal="right" readingOrder="0"/>
    </xf>
    <xf borderId="187" fillId="50" fontId="2" numFmtId="0" xfId="0" applyAlignment="1" applyBorder="1" applyFill="1" applyFont="1">
      <alignment readingOrder="0" vertical="center"/>
    </xf>
    <xf borderId="188" fillId="50" fontId="2" numFmtId="171" xfId="0" applyAlignment="1" applyBorder="1" applyFill="1" applyFont="1" applyNumberFormat="1">
      <alignment horizontal="right" vertical="center"/>
    </xf>
    <xf borderId="188" fillId="50" fontId="2" numFmtId="165" xfId="0" applyAlignment="1" applyBorder="1" applyFill="1" applyFont="1" applyNumberFormat="1">
      <alignment horizontal="right" vertical="center"/>
    </xf>
    <xf borderId="188" fillId="50" fontId="2" numFmtId="3" xfId="0" applyAlignment="1" applyBorder="1" applyFill="1" applyFont="1" applyNumberFormat="1">
      <alignment horizontal="right" vertical="center"/>
    </xf>
    <xf borderId="188" fillId="50" fontId="2" numFmtId="0" xfId="0" applyAlignment="1" applyBorder="1" applyFill="1" applyFont="1">
      <alignment vertical="center"/>
    </xf>
    <xf borderId="189" fillId="50" fontId="2" numFmtId="0" xfId="0" applyAlignment="1" applyBorder="1" applyFill="1" applyFont="1">
      <alignment vertical="center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8A4F24"/>
          <bgColor rgb="FF8A4F24"/>
        </patternFill>
      </fill>
      <border/>
    </dxf>
    <dxf>
      <font/>
      <fill>
        <patternFill patternType="solid">
          <fgColor rgb="FFFFF8F5"/>
          <bgColor rgb="FFFFF8F5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>
        <b/>
        <color rgb="FF197226"/>
      </font>
      <fill>
        <patternFill patternType="solid">
          <fgColor rgb="FFE0F4E0"/>
          <bgColor rgb="FFE0F4E0"/>
        </patternFill>
      </fill>
      <border/>
    </dxf>
    <dxf>
      <font>
        <b/>
        <color rgb="FFB21919"/>
      </font>
      <fill>
        <patternFill patternType="solid">
          <fgColor rgb="FFFFD8D8"/>
          <bgColor rgb="FFFFD8D8"/>
        </patternFill>
      </fill>
      <border/>
    </dxf>
    <dxf>
      <font>
        <b/>
        <color rgb="FF145623"/>
      </font>
      <fill>
        <patternFill patternType="solid">
          <fgColor rgb="FFD3EDD8"/>
          <bgColor rgb="FFD3EDD8"/>
        </patternFill>
      </fill>
      <border/>
    </dxf>
    <dxf>
      <font>
        <b/>
        <color rgb="FF003F84"/>
      </font>
      <fill>
        <patternFill patternType="solid">
          <fgColor rgb="FFCCE5FF"/>
          <bgColor rgb="FFCCE5FF"/>
        </patternFill>
      </fill>
      <border/>
    </dxf>
    <dxf>
      <font>
        <b/>
        <color rgb="FF846305"/>
      </font>
      <fill>
        <patternFill patternType="solid">
          <fgColor rgb="FFFFF2CC"/>
          <bgColor rgb="FFFFF2CC"/>
        </patternFill>
      </fill>
      <border/>
    </dxf>
    <dxf>
      <font>
        <b/>
        <color rgb="FF721C23"/>
      </font>
      <fill>
        <patternFill patternType="solid">
          <fgColor rgb="FFF7D6D8"/>
          <bgColor rgb="FFF7D6D8"/>
        </patternFill>
      </fill>
      <border/>
    </dxf>
  </dxfs>
  <tableStyles count="1">
    <tableStyle count="3" pivot="0" name="Master Menu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Tren Omzet Harian (14 Hari Terakhir)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'Dashboard Manager'!$P$1</c:f>
            </c:strRef>
          </c:tx>
          <c:spPr>
            <a:ln cmpd="sng">
              <a:solidFill>
                <a:srgbClr val="87501F"/>
              </a:solidFill>
            </a:ln>
          </c:spPr>
          <c:marker>
            <c:symbol val="none"/>
          </c:marker>
          <c:cat>
            <c:strRef>
              <c:f>'Dashboard Manager'!$O$2:$O$15</c:f>
            </c:strRef>
          </c:cat>
          <c:val>
            <c:numRef>
              <c:f>'Dashboard Manager'!$P$2:$P$15</c:f>
              <c:numCache/>
            </c:numRef>
          </c:val>
          <c:smooth val="0"/>
        </c:ser>
        <c:axId val="867972475"/>
        <c:axId val="1971609565"/>
      </c:lineChart>
      <c:catAx>
        <c:axId val="8679724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Tanggal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71609565"/>
      </c:catAx>
      <c:valAx>
        <c:axId val="19716095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Omzet (Rp)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67972475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Top 5 Menu Paling Laris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'Dashboard Manager'!$R$1</c:f>
            </c:strRef>
          </c:tx>
          <c:spPr>
            <a:solidFill>
              <a:srgbClr val="BC7334"/>
            </a:solidFill>
            <a:ln cmpd="sng">
              <a:noFill/>
            </a:ln>
          </c:spPr>
          <c:cat>
            <c:strRef>
              <c:f>'Dashboard Manager'!$Q$2:$Q$6</c:f>
            </c:strRef>
          </c:cat>
          <c:val>
            <c:numRef>
              <c:f>'Dashboard Manager'!$R$2:$R$6</c:f>
              <c:numCache/>
            </c:numRef>
          </c:val>
        </c:ser>
        <c:axId val="654239391"/>
        <c:axId val="1846256656"/>
      </c:barChart>
      <c:catAx>
        <c:axId val="65423939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Menu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6256656"/>
      </c:catAx>
      <c:valAx>
        <c:axId val="184625665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Porsi Terjual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54239391"/>
        <c:crosses val="max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Proporsi Pengeluaran Operasional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'Dashboard Manager'!$S$1:$S$6</c:f>
            </c:strRef>
          </c:cat>
          <c:val>
            <c:numRef>
              <c:f>'Dashboard Manager'!$T$1:$T$6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40"/>
      </c:doughnut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100">
                <a:solidFill>
                  <a:srgbClr val="895021"/>
                </a:solidFill>
                <a:latin typeface="Google Sans"/>
              </a:defRPr>
            </a:pPr>
            <a:r>
              <a:rPr b="1" sz="1100">
                <a:solidFill>
                  <a:srgbClr val="895021"/>
                </a:solidFill>
                <a:latin typeface="Google Sans"/>
              </a:rPr>
              <a:t>Matriks Menu: Total Omzet vs Margin Laba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'Analisis Menu Engineering'!$E$8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895021"/>
              </a:solidFill>
              <a:ln cmpd="sng">
                <a:solidFill>
                  <a:srgbClr val="895021"/>
                </a:solidFill>
              </a:ln>
            </c:spPr>
          </c:marker>
          <c:xVal>
            <c:numRef>
              <c:f>'Analisis Menu Engineering'!$G$9:$G$47</c:f>
            </c:numRef>
          </c:xVal>
          <c:yVal>
            <c:numRef>
              <c:f>'Analisis Menu Engineering'!$E$9:$E$47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9161162"/>
        <c:axId val="451590447"/>
      </c:scatterChart>
      <c:valAx>
        <c:axId val="11991611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 Omzet (Rp)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51590447"/>
      </c:valAx>
      <c:valAx>
        <c:axId val="4515904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Margin Laba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99161162"/>
      </c:valAx>
    </c:plotArea>
    <c:plotVisOnly val="1"/>
  </c:chart>
  <c:spPr>
    <a:solidFill>
      <a:srgbClr val="FFFFFF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Tren Mingguan: Pendapatan, Pengeluaran, COGS &amp; Laba Bersih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Dashboard!$M$25</c:f>
            </c:strRef>
          </c:tx>
          <c:spPr>
            <a:solidFill>
              <a:srgbClr val="4284F4"/>
            </a:solidFill>
            <a:ln cmpd="sng">
              <a:noFill/>
            </a:ln>
          </c:spPr>
          <c:cat>
            <c:strRef>
              <c:f>Dashboard!$L$26:$L$35</c:f>
            </c:strRef>
          </c:cat>
          <c:val>
            <c:numRef>
              <c:f>Dashboard!$M$26:$M$35</c:f>
              <c:numCache/>
            </c:numRef>
          </c:val>
        </c:ser>
        <c:ser>
          <c:idx val="1"/>
          <c:order val="1"/>
          <c:tx>
            <c:strRef>
              <c:f>Dashboard!$N$25</c:f>
            </c:strRef>
          </c:tx>
          <c:spPr>
            <a:solidFill>
              <a:srgbClr val="EA4235"/>
            </a:solidFill>
            <a:ln cmpd="sng">
              <a:noFill/>
            </a:ln>
          </c:spPr>
          <c:cat>
            <c:strRef>
              <c:f>Dashboard!$L$26:$L$35</c:f>
            </c:strRef>
          </c:cat>
          <c:val>
            <c:numRef>
              <c:f>Dashboard!$N$26:$N$35</c:f>
              <c:numCache/>
            </c:numRef>
          </c:val>
        </c:ser>
        <c:ser>
          <c:idx val="2"/>
          <c:order val="2"/>
          <c:tx>
            <c:strRef>
              <c:f>Dashboard!$O$25</c:f>
            </c:strRef>
          </c:tx>
          <c:spPr>
            <a:solidFill>
              <a:srgbClr val="F9BC05"/>
            </a:solidFill>
            <a:ln cmpd="sng">
              <a:noFill/>
            </a:ln>
          </c:spPr>
          <c:cat>
            <c:strRef>
              <c:f>Dashboard!$L$26:$L$35</c:f>
            </c:strRef>
          </c:cat>
          <c:val>
            <c:numRef>
              <c:f>Dashboard!$O$26:$O$35</c:f>
              <c:numCache/>
            </c:numRef>
          </c:val>
        </c:ser>
        <c:axId val="77458691"/>
        <c:axId val="213097933"/>
      </c:barChart>
      <c:lineChart>
        <c:varyColors val="0"/>
        <c:ser>
          <c:idx val="3"/>
          <c:order val="3"/>
          <c:tx>
            <c:strRef>
              <c:f>Dashboard!$P$25</c:f>
            </c:strRef>
          </c:tx>
          <c:spPr>
            <a:ln cmpd="sng">
              <a:solidFill>
                <a:srgbClr val="33A854"/>
              </a:solidFill>
            </a:ln>
          </c:spPr>
          <c:marker>
            <c:symbol val="none"/>
          </c:marker>
          <c:cat>
            <c:strRef>
              <c:f>Dashboard!$L$26:$L$35</c:f>
            </c:strRef>
          </c:cat>
          <c:val>
            <c:numRef>
              <c:f>Dashboard!$P$26:$P$35</c:f>
              <c:numCache/>
            </c:numRef>
          </c:val>
          <c:smooth val="0"/>
        </c:ser>
        <c:axId val="77458691"/>
        <c:axId val="213097933"/>
      </c:lineChart>
      <c:catAx>
        <c:axId val="774586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097933"/>
      </c:catAx>
      <c:valAx>
        <c:axId val="2130979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45869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31</xdr:row>
      <xdr:rowOff>47625</xdr:rowOff>
    </xdr:from>
    <xdr:ext cx="4286250" cy="2571750"/>
    <xdr:graphicFrame>
      <xdr:nvGraphicFramePr>
        <xdr:cNvPr id="1" name="Chart 1" title="Tren Omzet Harian (14 Hari Terakhir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6</xdr:col>
      <xdr:colOff>47625</xdr:colOff>
      <xdr:row>31</xdr:row>
      <xdr:rowOff>47625</xdr:rowOff>
    </xdr:from>
    <xdr:ext cx="4095750" cy="2571750"/>
    <xdr:graphicFrame>
      <xdr:nvGraphicFramePr>
        <xdr:cNvPr id="3" name="Chart 3" title="Top 5 Menu Paling Lari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12</xdr:col>
      <xdr:colOff>47625</xdr:colOff>
      <xdr:row>31</xdr:row>
      <xdr:rowOff>47625</xdr:rowOff>
    </xdr:from>
    <xdr:ext cx="4191000" cy="2571750"/>
    <xdr:graphicFrame>
      <xdr:nvGraphicFramePr>
        <xdr:cNvPr id="4" name="Chart 4" title="Proporsi Pengeluaran Operasion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581025</xdr:colOff>
      <xdr:row>0</xdr:row>
      <xdr:rowOff>0</xdr:rowOff>
    </xdr:from>
    <xdr:ext cx="6477000" cy="4000500"/>
    <xdr:graphicFrame>
      <xdr:nvGraphicFramePr>
        <xdr:cNvPr id="5" name="Chart 5" title="Matriks Menu: Total Omzet vs Margin Laba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0</xdr:colOff>
      <xdr:row>31</xdr:row>
      <xdr:rowOff>0</xdr:rowOff>
    </xdr:from>
    <xdr:ext cx="4762500" cy="2857500"/>
    <xdr:graphicFrame>
      <xdr:nvGraphicFramePr>
        <xdr:cNvPr id="2" name="Chart 2" title="Tren Mingguan: Pendapatan, Pengeluaran, COGS &amp; Laba Bersih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4:F50" displayName="Table_1" name="Table_1" id="1">
  <tableColumns count="5">
    <tableColumn name="Nama Menu" id="1"/>
    <tableColumn name="Harga Jual" id="2"/>
    <tableColumn name="Modal (COGS)" id="3"/>
    <tableColumn name="Laba per Porsi" id="4"/>
    <tableColumn name="Margin Laba" id="5"/>
  </tableColumns>
  <tableStyleInfo name="Master Menu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21.38"/>
    <col customWidth="1" min="3" max="3" width="16.75"/>
    <col customWidth="1" min="4" max="4" width="17.0"/>
    <col customWidth="1" min="5" max="5" width="17.63"/>
    <col customWidth="1" min="7" max="7" width="20.75"/>
    <col customWidth="1" min="8" max="9" width="12.0"/>
    <col customWidth="1" min="10" max="10" width="2.63"/>
    <col customWidth="1" min="11" max="11" width="20.75"/>
    <col customWidth="1" min="12" max="12" width="10.75"/>
    <col customWidth="1" min="13" max="13" width="18.25"/>
  </cols>
  <sheetData>
    <row r="1">
      <c r="A1" s="76" t="s">
        <v>153</v>
      </c>
      <c r="B1" s="78" t="s">
        <v>154</v>
      </c>
      <c r="C1" s="80" t="s">
        <v>157</v>
      </c>
      <c r="D1" s="80" t="s">
        <v>158</v>
      </c>
      <c r="E1" s="82" t="s">
        <v>160</v>
      </c>
      <c r="G1" s="83" t="s">
        <v>161</v>
      </c>
      <c r="H1" s="85"/>
      <c r="I1" s="85"/>
      <c r="J1" s="85"/>
      <c r="K1" s="85"/>
      <c r="L1" s="85"/>
      <c r="M1" s="86"/>
      <c r="O1" s="87" t="s">
        <v>3</v>
      </c>
      <c r="P1" s="87" t="s">
        <v>165</v>
      </c>
      <c r="Q1" s="87" t="s">
        <v>9</v>
      </c>
      <c r="R1" s="87" t="s">
        <v>166</v>
      </c>
      <c r="S1" s="87" t="s">
        <v>4</v>
      </c>
      <c r="T1" s="87" t="s">
        <v>2</v>
      </c>
    </row>
    <row r="2">
      <c r="A2" s="88">
        <v>6.0E7</v>
      </c>
      <c r="B2" s="89">
        <f t="array" ref="B2">SUMIF(Calc_Data!F:F, TEXT(IF(DAY(INDEX(O2:O15, COUNTA(O2:O15)))&gt;=7, INDEX(O2:O15, COUNTA(O2:O15)), EDATE(INDEX(O2:O15, COUNTA(O2:O15)), -1)), "yyyy-mm") &amp; " (Tgl 7-6)", Calc_Data!B:B)</f>
        <v>5602500</v>
      </c>
      <c r="C2" s="90">
        <f>B2/A2</f>
        <v>0.093375</v>
      </c>
      <c r="D2" s="92">
        <f>MAX(0, A2-B2)</f>
        <v>54397500</v>
      </c>
      <c r="E2" s="95">
        <f>SUM('Drop Data Kasir'!B:B)</f>
        <v>480</v>
      </c>
      <c r="G2" s="98" t="s">
        <v>175</v>
      </c>
      <c r="H2" s="99" t="s">
        <v>176</v>
      </c>
      <c r="I2" s="101"/>
      <c r="K2" s="102" t="s">
        <v>178</v>
      </c>
      <c r="L2" s="103" t="s">
        <v>179</v>
      </c>
      <c r="M2" s="104"/>
      <c r="O2" s="107">
        <f>IFERROR(__xludf.DUMMYFUNCTION("SORT(QUERY(Calc_Data!A2:B100, ""SELECT A, B WHERE A IS NOT NULL AND B &gt; 0 ORDER BY A DESC LIMIT 14"", 0), 1, TRUE)"),46261.0)</f>
        <v>46261</v>
      </c>
      <c r="P2" s="109">
        <f>IFERROR(__xludf.DUMMYFUNCTION("""COMPUTED_VALUE"""),1104000.0)</f>
        <v>1104000</v>
      </c>
      <c r="Q2" s="111" t="str">
        <f>IFERROR(__xludf.DUMMYFUNCTION("QUERY({'Drop Data Kasir'!A2:A100 , 'Drop Data Kasir'!B2:B100 , 'Drop Data Kasir'!C2:C100}, ""SELECT Col1, SUM(Col2) WHERE Col3 = date '"" &amp; TEXT(MAX('Drop Data Kasir'!C2:C100), ""yyyy-mm-dd"") &amp; ""' GROUP BY Col1 ORDER BY SUM(Col2) DESC LIMIT 5 LABEL Col1"&amp;" '', SUM(Col2) ''"", 0)"),"Nasi Goreng Kara")</f>
        <v>Nasi Goreng Kara</v>
      </c>
      <c r="R2" s="112">
        <f>IFERROR(__xludf.DUMMYFUNCTION("""COMPUTED_VALUE"""),5.0)</f>
        <v>5</v>
      </c>
      <c r="S2" s="111" t="str">
        <f>IFERROR(__xludf.DUMMYFUNCTION("QUERY('Log Pengeluaran'!C5:E100, ""SELECT C, SUM(E) WHERE C IS NOT NULL AND C &lt;&gt; '' AND LOWER(C) &lt;&gt; 'prive' GROUP BY C ORDER BY SUM(E) DESC LABEL C '', SUM(E) ''"", 0)"),"Gaji")</f>
        <v>Gaji</v>
      </c>
      <c r="T2" s="109">
        <f>IFERROR(__xludf.DUMMYFUNCTION("""COMPUTED_VALUE"""),4860000.0)</f>
        <v>4860000</v>
      </c>
    </row>
    <row r="3">
      <c r="A3" s="113" t="s">
        <v>181</v>
      </c>
      <c r="B3" s="114" t="s">
        <v>182</v>
      </c>
      <c r="C3" s="115" t="s">
        <v>183</v>
      </c>
      <c r="D3" s="115" t="s">
        <v>184</v>
      </c>
      <c r="E3" s="116" t="s">
        <v>185</v>
      </c>
      <c r="G3" s="119" t="str">
        <f>'Analisis Menu Engineering'!C7</f>
        <v>8 Menu</v>
      </c>
      <c r="H3" s="121" t="str">
        <f>'Analisis Menu Engineering'!G7</f>
        <v>12 Menu</v>
      </c>
      <c r="I3" s="122"/>
      <c r="K3" s="124" t="str">
        <f>'Analisis Menu Engineering'!E7</f>
        <v>8 Menu</v>
      </c>
      <c r="L3" s="126" t="str">
        <f>'Analisis Menu Engineering'!I7</f>
        <v>11 Menu</v>
      </c>
      <c r="M3" s="128"/>
      <c r="O3" s="107">
        <f>IFERROR(__xludf.DUMMYFUNCTION("""COMPUTED_VALUE"""),46262.0)</f>
        <v>46262</v>
      </c>
      <c r="P3" s="109">
        <f>IFERROR(__xludf.DUMMYFUNCTION("""COMPUTED_VALUE"""),1557000.0)</f>
        <v>1557000</v>
      </c>
      <c r="Q3" s="111" t="str">
        <f>IFERROR(__xludf.DUMMYFUNCTION("""COMPUTED_VALUE"""),"Cappucino")</f>
        <v>Cappucino</v>
      </c>
      <c r="R3" s="112">
        <f>IFERROR(__xludf.DUMMYFUNCTION("""COMPUTED_VALUE"""),4.0)</f>
        <v>4</v>
      </c>
      <c r="S3" s="111" t="str">
        <f>IFERROR(__xludf.DUMMYFUNCTION("""COMPUTED_VALUE"""),"Bahan Baku")</f>
        <v>Bahan Baku</v>
      </c>
      <c r="T3" s="109">
        <f>IFERROR(__xludf.DUMMYFUNCTION("""COMPUTED_VALUE"""),3424500.0)</f>
        <v>3424500</v>
      </c>
    </row>
    <row r="4">
      <c r="G4" s="129" t="s">
        <v>186</v>
      </c>
      <c r="H4" s="130" t="s">
        <v>187</v>
      </c>
      <c r="I4" s="122"/>
      <c r="K4" s="131" t="s">
        <v>188</v>
      </c>
      <c r="L4" s="132" t="s">
        <v>189</v>
      </c>
      <c r="M4" s="128"/>
      <c r="O4" s="107">
        <f>IFERROR(__xludf.DUMMYFUNCTION("""COMPUTED_VALUE"""),46263.0)</f>
        <v>46263</v>
      </c>
      <c r="P4" s="109">
        <f>IFERROR(__xludf.DUMMYFUNCTION("""COMPUTED_VALUE"""),2202500.0)</f>
        <v>2202500</v>
      </c>
      <c r="Q4" s="111" t="str">
        <f>IFERROR(__xludf.DUMMYFUNCTION("""COMPUTED_VALUE"""),"Cikalopi")</f>
        <v>Cikalopi</v>
      </c>
      <c r="R4" s="112">
        <f>IFERROR(__xludf.DUMMYFUNCTION("""COMPUTED_VALUE"""),3.0)</f>
        <v>3</v>
      </c>
      <c r="S4" s="111" t="str">
        <f>IFERROR(__xludf.DUMMYFUNCTION("""COMPUTED_VALUE"""),"Operasional")</f>
        <v>Operasional</v>
      </c>
      <c r="T4" s="109">
        <f>IFERROR(__xludf.DUMMYFUNCTION("""COMPUTED_VALUE"""),1451000.0)</f>
        <v>1451000</v>
      </c>
    </row>
    <row r="5">
      <c r="G5" s="135" t="s">
        <v>190</v>
      </c>
      <c r="H5" s="136"/>
      <c r="I5" s="137"/>
      <c r="K5" s="139" t="s">
        <v>191</v>
      </c>
      <c r="L5" s="140"/>
      <c r="M5" s="141"/>
      <c r="O5" s="107">
        <f>IFERROR(__xludf.DUMMYFUNCTION("""COMPUTED_VALUE"""),46264.0)</f>
        <v>46264</v>
      </c>
      <c r="P5" s="109">
        <f>IFERROR(__xludf.DUMMYFUNCTION("""COMPUTED_VALUE"""),1232500.0)</f>
        <v>1232500</v>
      </c>
      <c r="Q5" s="111" t="str">
        <f>IFERROR(__xludf.DUMMYFUNCTION("""COMPUTED_VALUE"""),"Kopi Nenek")</f>
        <v>Kopi Nenek</v>
      </c>
      <c r="R5" s="112">
        <f>IFERROR(__xludf.DUMMYFUNCTION("""COMPUTED_VALUE"""),3.0)</f>
        <v>3</v>
      </c>
      <c r="S5" s="111" t="str">
        <f>IFERROR(__xludf.DUMMYFUNCTION("""COMPUTED_VALUE"""),"Lain-lain")</f>
        <v>Lain-lain</v>
      </c>
      <c r="T5" s="109">
        <f>IFERROR(__xludf.DUMMYFUNCTION("""COMPUTED_VALUE"""),405000.0)</f>
        <v>405000</v>
      </c>
    </row>
    <row r="6">
      <c r="A6" s="142" t="s">
        <v>192</v>
      </c>
      <c r="B6" s="143" t="s">
        <v>193</v>
      </c>
      <c r="C6" s="143" t="s">
        <v>194</v>
      </c>
      <c r="D6" s="143" t="s">
        <v>195</v>
      </c>
      <c r="E6" s="144" t="s">
        <v>196</v>
      </c>
      <c r="G6" s="145" t="s">
        <v>197</v>
      </c>
      <c r="H6" s="146"/>
      <c r="I6" s="147"/>
      <c r="K6" s="148" t="s">
        <v>198</v>
      </c>
      <c r="L6" s="149"/>
      <c r="M6" s="150"/>
      <c r="O6" s="107">
        <f>IFERROR(__xludf.DUMMYFUNCTION("""COMPUTED_VALUE"""),46265.0)</f>
        <v>46265</v>
      </c>
      <c r="P6" s="109">
        <f>IFERROR(__xludf.DUMMYFUNCTION("""COMPUTED_VALUE"""),1457500.0)</f>
        <v>1457500</v>
      </c>
      <c r="Q6" s="111" t="str">
        <f>IFERROR(__xludf.DUMMYFUNCTION("""COMPUTED_VALUE"""),"Pure chocolade")</f>
        <v>Pure chocolade</v>
      </c>
      <c r="R6" s="112">
        <f>IFERROR(__xludf.DUMMYFUNCTION("""COMPUTED_VALUE"""),3.0)</f>
        <v>3</v>
      </c>
      <c r="S6" s="111" t="str">
        <f>IFERROR(__xludf.DUMMYFUNCTION("""COMPUTED_VALUE"""),"Pemasaran")</f>
        <v>Pemasaran</v>
      </c>
      <c r="T6" s="109">
        <f>IFERROR(__xludf.DUMMYFUNCTION("""COMPUTED_VALUE"""),110000.0)</f>
        <v>110000</v>
      </c>
    </row>
    <row r="7">
      <c r="A7" s="151">
        <f>A2/30</f>
        <v>2000000</v>
      </c>
      <c r="B7" s="152">
        <f t="array" ref="B7">INDEX(P2:P15, COUNTA(P2:P15))</f>
        <v>1039000</v>
      </c>
      <c r="C7" s="153">
        <f>B7/A7</f>
        <v>0.5195</v>
      </c>
      <c r="D7" s="154">
        <f>B7-A7</f>
        <v>-961000</v>
      </c>
      <c r="E7" s="155" t="str">
        <f>IF(C7&gt;=1, "TARGET TERCAPAI", "DI BAWAH TARGET")</f>
        <v>DI BAWAH TARGET</v>
      </c>
      <c r="G7" s="156" t="s">
        <v>200</v>
      </c>
      <c r="H7" s="157" t="s">
        <v>201</v>
      </c>
      <c r="I7" s="158" t="s">
        <v>13</v>
      </c>
      <c r="K7" s="159" t="s">
        <v>202</v>
      </c>
      <c r="L7" s="160" t="s">
        <v>203</v>
      </c>
      <c r="M7" s="161" t="s">
        <v>13</v>
      </c>
      <c r="O7" s="107">
        <f>IFERROR(__xludf.DUMMYFUNCTION("""COMPUTED_VALUE"""),46266.0)</f>
        <v>46266</v>
      </c>
      <c r="P7" s="109">
        <f>IFERROR(__xludf.DUMMYFUNCTION("""COMPUTED_VALUE"""),984500.0)</f>
        <v>984500</v>
      </c>
      <c r="Q7" s="111"/>
      <c r="R7" s="112"/>
      <c r="S7" s="111"/>
      <c r="T7" s="109"/>
    </row>
    <row r="8">
      <c r="A8" s="162" t="s">
        <v>204</v>
      </c>
      <c r="B8" s="163" t="str">
        <f t="array" ref="B8">"Tanggal: " &amp; TEXT(INDEX(O2:O15, COUNTA(O2:O15)), "yyyy-mm-dd")</f>
        <v>Tanggal: 2026-09-09</v>
      </c>
      <c r="C8" s="164" t="s">
        <v>205</v>
      </c>
      <c r="D8" s="164" t="s">
        <v>206</v>
      </c>
      <c r="E8" s="165" t="str">
        <f>IF(C7&gt;=1, "Kinerja Prima", "Perlu Dorong Upselling")</f>
        <v>Perlu Dorong Upselling</v>
      </c>
      <c r="G8" s="166" t="str">
        <f>IFERROR(__xludf.DUMMYFUNCTION("QUERY('Analisis Menu Engineering'!A9:I47, ""SELECT A, I, E WHERE I = 'Star' OR I = 'Puzzle' ORDER BY I DESC, E DESC"", 0)"),"Teh puncak Jamus")</f>
        <v>Teh puncak Jamus</v>
      </c>
      <c r="H8" s="167" t="str">
        <f>IFERROR(__xludf.DUMMYFUNCTION("""COMPUTED_VALUE"""),"Star")</f>
        <v>Star</v>
      </c>
      <c r="I8" s="168">
        <f>IFERROR(__xludf.DUMMYFUNCTION("""COMPUTED_VALUE"""),0.982)</f>
        <v>0.982</v>
      </c>
      <c r="K8" s="169" t="str">
        <f>IFERROR(__xludf.DUMMYFUNCTION("QUERY('Analisis Menu Engineering'!A9:I47, ""SELECT A, F, E WHERE I = 'Workhorse' ORDER BY F DESC"", 0)"),"Sexy Lady")</f>
        <v>Sexy Lady</v>
      </c>
      <c r="L8" s="170">
        <f>IFERROR(__xludf.DUMMYFUNCTION("""COMPUTED_VALUE"""),183.0)</f>
        <v>183</v>
      </c>
      <c r="M8" s="171">
        <f>IFERROR(__xludf.DUMMYFUNCTION("""COMPUTED_VALUE"""),0.716)</f>
        <v>0.716</v>
      </c>
      <c r="O8" s="107">
        <f>IFERROR(__xludf.DUMMYFUNCTION("""COMPUTED_VALUE"""),46267.0)</f>
        <v>46267</v>
      </c>
      <c r="P8" s="109">
        <f>IFERROR(__xludf.DUMMYFUNCTION("""COMPUTED_VALUE"""),1052000.0)</f>
        <v>1052000</v>
      </c>
      <c r="Q8" s="111"/>
      <c r="R8" s="112"/>
      <c r="S8" s="111"/>
      <c r="T8" s="109"/>
    </row>
    <row r="9">
      <c r="G9" s="166" t="str">
        <f>IFERROR(__xludf.DUMMYFUNCTION("""COMPUTED_VALUE"""),"Teh Belanda")</f>
        <v>Teh Belanda</v>
      </c>
      <c r="H9" s="167" t="str">
        <f>IFERROR(__xludf.DUMMYFUNCTION("""COMPUTED_VALUE"""),"Star")</f>
        <v>Star</v>
      </c>
      <c r="I9" s="168">
        <f>IFERROR(__xludf.DUMMYFUNCTION("""COMPUTED_VALUE"""),0.9740740740740741)</f>
        <v>0.9740740741</v>
      </c>
      <c r="K9" s="169" t="str">
        <f>IFERROR(__xludf.DUMMYFUNCTION("""COMPUTED_VALUE"""),"Nasi Goreng Kara")</f>
        <v>Nasi Goreng Kara</v>
      </c>
      <c r="L9" s="170">
        <f>IFERROR(__xludf.DUMMYFUNCTION("""COMPUTED_VALUE"""),146.0)</f>
        <v>146</v>
      </c>
      <c r="M9" s="171">
        <f>IFERROR(__xludf.DUMMYFUNCTION("""COMPUTED_VALUE"""),0.6832)</f>
        <v>0.6832</v>
      </c>
      <c r="O9" s="107">
        <f>IFERROR(__xludf.DUMMYFUNCTION("""COMPUTED_VALUE"""),46268.0)</f>
        <v>46268</v>
      </c>
      <c r="P9" s="109">
        <f>IFERROR(__xludf.DUMMYFUNCTION("""COMPUTED_VALUE"""),775000.0)</f>
        <v>775000</v>
      </c>
      <c r="Q9" s="111"/>
      <c r="R9" s="112"/>
      <c r="S9" s="111"/>
      <c r="T9" s="109"/>
    </row>
    <row r="10">
      <c r="A10" s="172" t="s">
        <v>207</v>
      </c>
      <c r="B10" s="173" t="s">
        <v>208</v>
      </c>
      <c r="C10" s="174" t="s">
        <v>203</v>
      </c>
      <c r="D10" s="174" t="s">
        <v>209</v>
      </c>
      <c r="E10" s="175" t="s">
        <v>210</v>
      </c>
      <c r="G10" s="166" t="str">
        <f>IFERROR(__xludf.DUMMYFUNCTION("""COMPUTED_VALUE"""),"Sweety hazy")</f>
        <v>Sweety hazy</v>
      </c>
      <c r="H10" s="167" t="str">
        <f>IFERROR(__xludf.DUMMYFUNCTION("""COMPUTED_VALUE"""),"Star")</f>
        <v>Star</v>
      </c>
      <c r="I10" s="168">
        <f>IFERROR(__xludf.DUMMYFUNCTION("""COMPUTED_VALUE"""),0.8348275862068966)</f>
        <v>0.8348275862</v>
      </c>
      <c r="K10" s="169" t="str">
        <f>IFERROR(__xludf.DUMMYFUNCTION("""COMPUTED_VALUE"""),"Latte Ice")</f>
        <v>Latte Ice</v>
      </c>
      <c r="L10" s="170">
        <f>IFERROR(__xludf.DUMMYFUNCTION("""COMPUTED_VALUE"""),137.0)</f>
        <v>137</v>
      </c>
      <c r="M10" s="171">
        <f>IFERROR(__xludf.DUMMYFUNCTION("""COMPUTED_VALUE"""),0.694)</f>
        <v>0.694</v>
      </c>
      <c r="O10" s="107">
        <f>IFERROR(__xludf.DUMMYFUNCTION("""COMPUTED_VALUE"""),46269.0)</f>
        <v>46269</v>
      </c>
      <c r="P10" s="109">
        <f>IFERROR(__xludf.DUMMYFUNCTION("""COMPUTED_VALUE"""),1001500.0)</f>
        <v>1001500</v>
      </c>
      <c r="Q10" s="111"/>
      <c r="R10" s="112"/>
      <c r="S10" s="111"/>
      <c r="T10" s="109"/>
    </row>
    <row r="11">
      <c r="A11" s="176">
        <v>1.0</v>
      </c>
      <c r="B11" s="177" t="str">
        <f t="shared" ref="B11:C11" si="1">Q2</f>
        <v>Nasi Goreng Kara</v>
      </c>
      <c r="C11" s="178">
        <f t="shared" si="1"/>
        <v>5</v>
      </c>
      <c r="D11" s="179">
        <f>IFERROR(VLOOKUP(B11, 'Master Menu'!B:C, 2, FALSE), 0)</f>
        <v>25000</v>
      </c>
      <c r="E11" s="180">
        <f t="shared" ref="E11:E15" si="3">C11*D11</f>
        <v>125000</v>
      </c>
      <c r="G11" s="166" t="str">
        <f>IFERROR(__xludf.DUMMYFUNCTION("""COMPUTED_VALUE"""),"Pure Chocolade")</f>
        <v>Pure Chocolade</v>
      </c>
      <c r="H11" s="167" t="str">
        <f>IFERROR(__xludf.DUMMYFUNCTION("""COMPUTED_VALUE"""),"Star")</f>
        <v>Star</v>
      </c>
      <c r="I11" s="168">
        <f>IFERROR(__xludf.DUMMYFUNCTION("""COMPUTED_VALUE"""),0.8206896551724138)</f>
        <v>0.8206896552</v>
      </c>
      <c r="K11" s="169" t="str">
        <f>IFERROR(__xludf.DUMMYFUNCTION("""COMPUTED_VALUE"""),"Party Plate")</f>
        <v>Party Plate</v>
      </c>
      <c r="L11" s="170">
        <f>IFERROR(__xludf.DUMMYFUNCTION("""COMPUTED_VALUE"""),122.0)</f>
        <v>122</v>
      </c>
      <c r="M11" s="171">
        <f>IFERROR(__xludf.DUMMYFUNCTION("""COMPUTED_VALUE"""),0.4819)</f>
        <v>0.4819</v>
      </c>
      <c r="O11" s="107">
        <f>IFERROR(__xludf.DUMMYFUNCTION("""COMPUTED_VALUE"""),46270.0)</f>
        <v>46270</v>
      </c>
      <c r="P11" s="109">
        <f>IFERROR(__xludf.DUMMYFUNCTION("""COMPUTED_VALUE"""),1140500.0)</f>
        <v>1140500</v>
      </c>
      <c r="Q11" s="111"/>
      <c r="R11" s="112"/>
      <c r="S11" s="111"/>
      <c r="T11" s="109"/>
    </row>
    <row r="12">
      <c r="A12" s="176">
        <v>2.0</v>
      </c>
      <c r="B12" s="177" t="str">
        <f t="shared" ref="B12:C12" si="2">Q3</f>
        <v>Cappucino</v>
      </c>
      <c r="C12" s="178">
        <f t="shared" si="2"/>
        <v>4</v>
      </c>
      <c r="D12" s="179">
        <f>IFERROR(VLOOKUP(B12, 'Master Menu'!B:C, 2, FALSE), 0)</f>
        <v>25000</v>
      </c>
      <c r="E12" s="180">
        <f t="shared" si="3"/>
        <v>100000</v>
      </c>
      <c r="G12" s="166" t="str">
        <f>IFERROR(__xludf.DUMMYFUNCTION("""COMPUTED_VALUE"""),"Air mineral besar")</f>
        <v>Air mineral besar</v>
      </c>
      <c r="H12" s="167" t="str">
        <f>IFERROR(__xludf.DUMMYFUNCTION("""COMPUTED_VALUE"""),"Star")</f>
        <v>Star</v>
      </c>
      <c r="I12" s="168">
        <f>IFERROR(__xludf.DUMMYFUNCTION("""COMPUTED_VALUE"""),0.8114285714285714)</f>
        <v>0.8114285714</v>
      </c>
      <c r="K12" s="169" t="str">
        <f>IFERROR(__xludf.DUMMYFUNCTION("""COMPUTED_VALUE"""),"americano")</f>
        <v>americano</v>
      </c>
      <c r="L12" s="170">
        <f>IFERROR(__xludf.DUMMYFUNCTION("""COMPUTED_VALUE"""),91.0)</f>
        <v>91</v>
      </c>
      <c r="M12" s="171">
        <f>IFERROR(__xludf.DUMMYFUNCTION("""COMPUTED_VALUE"""),0.7111111111111111)</f>
        <v>0.7111111111</v>
      </c>
      <c r="O12" s="107">
        <f>IFERROR(__xludf.DUMMYFUNCTION("""COMPUTED_VALUE"""),46271.0)</f>
        <v>46271</v>
      </c>
      <c r="P12" s="109">
        <f>IFERROR(__xludf.DUMMYFUNCTION("""COMPUTED_VALUE"""),1864000.0)</f>
        <v>1864000</v>
      </c>
      <c r="Q12" s="111"/>
      <c r="R12" s="112"/>
      <c r="S12" s="111"/>
      <c r="T12" s="109"/>
    </row>
    <row r="13">
      <c r="A13" s="176">
        <v>3.0</v>
      </c>
      <c r="B13" s="177" t="str">
        <f t="shared" ref="B13:C13" si="4">Q4</f>
        <v>Cikalopi</v>
      </c>
      <c r="C13" s="178">
        <f t="shared" si="4"/>
        <v>3</v>
      </c>
      <c r="D13" s="179">
        <f>IFERROR(VLOOKUP(B13, 'Master Menu'!B:C, 2, FALSE), 0)</f>
        <v>33000</v>
      </c>
      <c r="E13" s="180">
        <f t="shared" si="3"/>
        <v>99000</v>
      </c>
      <c r="G13" s="166" t="str">
        <f>IFERROR(__xludf.DUMMYFUNCTION("""COMPUTED_VALUE"""),"Sour tea")</f>
        <v>Sour tea</v>
      </c>
      <c r="H13" s="167" t="str">
        <f>IFERROR(__xludf.DUMMYFUNCTION("""COMPUTED_VALUE"""),"Star")</f>
        <v>Star</v>
      </c>
      <c r="I13" s="168">
        <f>IFERROR(__xludf.DUMMYFUNCTION("""COMPUTED_VALUE"""),0.8074210526315789)</f>
        <v>0.8074210526</v>
      </c>
      <c r="K13" s="169" t="str">
        <f>IFERROR(__xludf.DUMMYFUNCTION("""COMPUTED_VALUE"""),"Mie Yabi")</f>
        <v>Mie Yabi</v>
      </c>
      <c r="L13" s="170">
        <f>IFERROR(__xludf.DUMMYFUNCTION("""COMPUTED_VALUE"""),73.0)</f>
        <v>73</v>
      </c>
      <c r="M13" s="171">
        <f>IFERROR(__xludf.DUMMYFUNCTION("""COMPUTED_VALUE"""),0.7048)</f>
        <v>0.7048</v>
      </c>
      <c r="O13" s="107">
        <f>IFERROR(__xludf.DUMMYFUNCTION("""COMPUTED_VALUE"""),46272.0)</f>
        <v>46272</v>
      </c>
      <c r="P13" s="109">
        <f>IFERROR(__xludf.DUMMYFUNCTION("""COMPUTED_VALUE"""),2828000.0)</f>
        <v>2828000</v>
      </c>
      <c r="Q13" s="111"/>
      <c r="R13" s="112"/>
      <c r="S13" s="111"/>
      <c r="T13" s="109"/>
    </row>
    <row r="14">
      <c r="A14" s="176">
        <v>4.0</v>
      </c>
      <c r="B14" s="177" t="str">
        <f t="shared" ref="B14:C14" si="5">Q5</f>
        <v>Kopi Nenek</v>
      </c>
      <c r="C14" s="178">
        <f t="shared" si="5"/>
        <v>3</v>
      </c>
      <c r="D14" s="179">
        <f>IFERROR(VLOOKUP(B14, 'Master Menu'!B:C, 2, FALSE), 0)</f>
        <v>9000</v>
      </c>
      <c r="E14" s="180">
        <f t="shared" si="3"/>
        <v>27000</v>
      </c>
      <c r="G14" s="166" t="str">
        <f>IFERROR(__xludf.DUMMYFUNCTION("""COMPUTED_VALUE"""),"Curly Fries")</f>
        <v>Curly Fries</v>
      </c>
      <c r="H14" s="167" t="str">
        <f>IFERROR(__xludf.DUMMYFUNCTION("""COMPUTED_VALUE"""),"Star")</f>
        <v>Star</v>
      </c>
      <c r="I14" s="168">
        <f>IFERROR(__xludf.DUMMYFUNCTION("""COMPUTED_VALUE"""),0.7963636363636364)</f>
        <v>0.7963636364</v>
      </c>
      <c r="K14" s="169" t="str">
        <f>IFERROR(__xludf.DUMMYFUNCTION("""COMPUTED_VALUE"""),"Latte")</f>
        <v>Latte</v>
      </c>
      <c r="L14" s="170">
        <f>IFERROR(__xludf.DUMMYFUNCTION("""COMPUTED_VALUE"""),64.0)</f>
        <v>64</v>
      </c>
      <c r="M14" s="171">
        <f>IFERROR(__xludf.DUMMYFUNCTION("""COMPUTED_VALUE"""),0.694)</f>
        <v>0.694</v>
      </c>
      <c r="O14" s="107">
        <f>IFERROR(__xludf.DUMMYFUNCTION("""COMPUTED_VALUE"""),46273.0)</f>
        <v>46273</v>
      </c>
      <c r="P14" s="109">
        <f>IFERROR(__xludf.DUMMYFUNCTION("""COMPUTED_VALUE"""),1735500.0)</f>
        <v>1735500</v>
      </c>
      <c r="Q14" s="111"/>
      <c r="R14" s="112"/>
      <c r="S14" s="111"/>
      <c r="T14" s="109"/>
    </row>
    <row r="15">
      <c r="A15" s="181">
        <v>5.0</v>
      </c>
      <c r="B15" s="182" t="str">
        <f t="shared" ref="B15:C15" si="6">Q6</f>
        <v>Pure chocolade</v>
      </c>
      <c r="C15" s="183">
        <f t="shared" si="6"/>
        <v>3</v>
      </c>
      <c r="D15" s="184">
        <f>IFERROR(VLOOKUP(B15, 'Master Menu'!B:C, 2, FALSE), 0)</f>
        <v>29000</v>
      </c>
      <c r="E15" s="185">
        <f t="shared" si="3"/>
        <v>87000</v>
      </c>
      <c r="G15" s="166" t="str">
        <f>IFERROR(__xludf.DUMMYFUNCTION("""COMPUTED_VALUE"""),"Kopi Nenek")</f>
        <v>Kopi Nenek</v>
      </c>
      <c r="H15" s="167" t="str">
        <f>IFERROR(__xludf.DUMMYFUNCTION("""COMPUTED_VALUE"""),"Star")</f>
        <v>Star</v>
      </c>
      <c r="I15" s="168">
        <f>IFERROR(__xludf.DUMMYFUNCTION("""COMPUTED_VALUE"""),0.7401111111111112)</f>
        <v>0.7401111111</v>
      </c>
      <c r="K15" s="186" t="str">
        <f>IFERROR(__xludf.DUMMYFUNCTION("""COMPUTED_VALUE"""),"Natie Matcha")</f>
        <v>Natie Matcha</v>
      </c>
      <c r="L15" s="187">
        <f>IFERROR(__xludf.DUMMYFUNCTION("""COMPUTED_VALUE"""),59.0)</f>
        <v>59</v>
      </c>
      <c r="M15" s="188">
        <f>IFERROR(__xludf.DUMMYFUNCTION("""COMPUTED_VALUE"""),0.6052631578947368)</f>
        <v>0.6052631579</v>
      </c>
      <c r="O15" s="107">
        <f>IFERROR(__xludf.DUMMYFUNCTION("""COMPUTED_VALUE"""),46274.0)</f>
        <v>46274</v>
      </c>
      <c r="P15" s="109">
        <f>IFERROR(__xludf.DUMMYFUNCTION("""COMPUTED_VALUE"""),1039000.0)</f>
        <v>1039000</v>
      </c>
      <c r="Q15" s="111"/>
      <c r="R15" s="112"/>
      <c r="S15" s="111"/>
      <c r="T15" s="109"/>
    </row>
    <row r="16">
      <c r="G16" s="166" t="str">
        <f>IFERROR(__xludf.DUMMYFUNCTION("""COMPUTED_VALUE"""),"Claudio (Vanilla)")</f>
        <v>Claudio (Vanilla)</v>
      </c>
      <c r="H16" s="189" t="str">
        <f>IFERROR(__xludf.DUMMYFUNCTION("""COMPUTED_VALUE"""),"Puzzle")</f>
        <v>Puzzle</v>
      </c>
      <c r="I16" s="168">
        <f>IFERROR(__xludf.DUMMYFUNCTION("""COMPUTED_VALUE"""),0.8923076923076924)</f>
        <v>0.8923076923</v>
      </c>
      <c r="O16" s="107"/>
      <c r="P16" s="109"/>
      <c r="Q16" s="111"/>
      <c r="R16" s="112"/>
      <c r="S16" s="111"/>
      <c r="T16" s="109"/>
    </row>
    <row r="17">
      <c r="A17" s="172" t="s">
        <v>3</v>
      </c>
      <c r="B17" s="173" t="s">
        <v>211</v>
      </c>
      <c r="C17" s="190" t="s">
        <v>212</v>
      </c>
      <c r="D17" s="173" t="s">
        <v>213</v>
      </c>
      <c r="E17" s="191" t="s">
        <v>214</v>
      </c>
      <c r="G17" s="166" t="str">
        <f>IFERROR(__xludf.DUMMYFUNCTION("""COMPUTED_VALUE"""),"Ivada (Stroberi)")</f>
        <v>Ivada (Stroberi)</v>
      </c>
      <c r="H17" s="189" t="str">
        <f>IFERROR(__xludf.DUMMYFUNCTION("""COMPUTED_VALUE"""),"Puzzle")</f>
        <v>Puzzle</v>
      </c>
      <c r="I17" s="168">
        <f>IFERROR(__xludf.DUMMYFUNCTION("""COMPUTED_VALUE"""),0.8923076923076924)</f>
        <v>0.8923076923</v>
      </c>
      <c r="K17" s="193" t="s">
        <v>216</v>
      </c>
      <c r="L17" s="194"/>
      <c r="M17" s="195"/>
      <c r="O17" s="107"/>
      <c r="P17" s="109"/>
      <c r="Q17" s="111"/>
      <c r="R17" s="112"/>
      <c r="S17" s="111"/>
      <c r="T17" s="109"/>
    </row>
    <row r="18">
      <c r="A18" s="196">
        <f>IFERROR(__xludf.DUMMYFUNCTION("IFERROR(CHOOSEROWS(FILTER('Log Laporan Insiden'!A2:E100, 'Log Laporan Insiden'!A2:A100 &lt;&gt; """"), -1, -2, -3), ""Tidak ada data insiden"")"),46243.0)</f>
        <v>46243</v>
      </c>
      <c r="B18" s="177" t="str">
        <f>IFERROR(__xludf.DUMMYFUNCTION("""COMPUTED_VALUE"""),"gala")</f>
        <v>gala</v>
      </c>
      <c r="C18" s="197" t="str">
        <f>IFERROR(__xludf.DUMMYFUNCTION("""COMPUTED_VALUE"""),"Keterlambatan")</f>
        <v>Keterlambatan</v>
      </c>
      <c r="D18" s="198" t="str">
        <f>IFERROR(__xludf.DUMMYFUNCTION("""COMPUTED_VALUE"""),"sering terlambat ")</f>
        <v>sering terlambat </v>
      </c>
      <c r="E18" s="199" t="str">
        <f>IFERROR(__xludf.DUMMYFUNCTION("""COMPUTED_VALUE"""),"sp1")</f>
        <v>sp1</v>
      </c>
      <c r="G18" s="166" t="str">
        <f>IFERROR(__xludf.DUMMYFUNCTION("""COMPUTED_VALUE"""),"Vicenzo (Coklat)")</f>
        <v>Vicenzo (Coklat)</v>
      </c>
      <c r="H18" s="189" t="str">
        <f>IFERROR(__xludf.DUMMYFUNCTION("""COMPUTED_VALUE"""),"Puzzle")</f>
        <v>Puzzle</v>
      </c>
      <c r="I18" s="168">
        <f>IFERROR(__xludf.DUMMYFUNCTION("""COMPUTED_VALUE"""),0.8923076923076924)</f>
        <v>0.8923076923</v>
      </c>
      <c r="K18" s="200" t="s">
        <v>217</v>
      </c>
      <c r="L18" s="201"/>
      <c r="M18" s="202"/>
      <c r="O18" s="107"/>
      <c r="P18" s="109"/>
      <c r="Q18" s="111"/>
      <c r="R18" s="112"/>
      <c r="S18" s="111"/>
      <c r="T18" s="109"/>
    </row>
    <row r="19">
      <c r="A19" s="196" t="str">
        <f>IFERROR(__xludf.DUMMYFUNCTION("""COMPUTED_VALUE"""),"08-31-2026")</f>
        <v>08-31-2026</v>
      </c>
      <c r="B19" s="177" t="str">
        <f>IFERROR(__xludf.DUMMYFUNCTION("""COMPUTED_VALUE"""),"adi")</f>
        <v>adi</v>
      </c>
      <c r="C19" s="197" t="str">
        <f>IFERROR(__xludf.DUMMYFUNCTION("""COMPUTED_VALUE"""),"Pelanggaran SOP")</f>
        <v>Pelanggaran SOP</v>
      </c>
      <c r="D19" s="198" t="str">
        <f>IFERROR(__xludf.DUMMYFUNCTION("""COMPUTED_VALUE"""),"listrik tidak di cek")</f>
        <v>listrik tidak di cek</v>
      </c>
      <c r="E19" s="199" t="str">
        <f>IFERROR(__xludf.DUMMYFUNCTION("""COMPUTED_VALUE"""),"sp2")</f>
        <v>sp2</v>
      </c>
      <c r="G19" s="166" t="str">
        <f>IFERROR(__xludf.DUMMYFUNCTION("""COMPUTED_VALUE"""),"Capri ijz (Campur)")</f>
        <v>Capri ijz (Campur)</v>
      </c>
      <c r="H19" s="189" t="str">
        <f>IFERROR(__xludf.DUMMYFUNCTION("""COMPUTED_VALUE"""),"Puzzle")</f>
        <v>Puzzle</v>
      </c>
      <c r="I19" s="168">
        <f>IFERROR(__xludf.DUMMYFUNCTION("""COMPUTED_VALUE"""),0.8923076923076924)</f>
        <v>0.8923076923</v>
      </c>
      <c r="K19" s="203" t="s">
        <v>218</v>
      </c>
      <c r="L19" s="204" t="s">
        <v>203</v>
      </c>
      <c r="M19" s="205" t="s">
        <v>13</v>
      </c>
      <c r="O19" s="107"/>
      <c r="P19" s="109"/>
      <c r="Q19" s="111"/>
      <c r="R19" s="112"/>
      <c r="S19" s="111"/>
      <c r="T19" s="109"/>
    </row>
    <row r="20">
      <c r="A20" s="206" t="str">
        <f>IFERROR(__xludf.DUMMYFUNCTION("""COMPUTED_VALUE"""),"08-23-2026")</f>
        <v>08-23-2026</v>
      </c>
      <c r="B20" s="182" t="str">
        <f>IFERROR(__xludf.DUMMYFUNCTION("""COMPUTED_VALUE"""),"randy")</f>
        <v>randy</v>
      </c>
      <c r="C20" s="207" t="str">
        <f>IFERROR(__xludf.DUMMYFUNCTION("""COMPUTED_VALUE"""),"Pelanggaran SOP")</f>
        <v>Pelanggaran SOP</v>
      </c>
      <c r="D20" s="208" t="str">
        <f>IFERROR(__xludf.DUMMYFUNCTION("""COMPUTED_VALUE"""),"lalai")</f>
        <v>lalai</v>
      </c>
      <c r="E20" s="209" t="str">
        <f>IFERROR(__xludf.DUMMYFUNCTION("""COMPUTED_VALUE"""),"Sp1")</f>
        <v>Sp1</v>
      </c>
      <c r="G20" s="166" t="str">
        <f>IFERROR(__xludf.DUMMYFUNCTION("""COMPUTED_VALUE"""),"Wedang uwuh Ngawi")</f>
        <v>Wedang uwuh Ngawi</v>
      </c>
      <c r="H20" s="189" t="str">
        <f>IFERROR(__xludf.DUMMYFUNCTION("""COMPUTED_VALUE"""),"Puzzle")</f>
        <v>Puzzle</v>
      </c>
      <c r="I20" s="168">
        <f>IFERROR(__xludf.DUMMYFUNCTION("""COMPUTED_VALUE"""),0.8538461538461538)</f>
        <v>0.8538461538</v>
      </c>
      <c r="K20" s="210" t="str">
        <f>IFERROR(__xludf.DUMMYFUNCTION("QUERY('Analisis Menu Engineering'!A9:I47, ""SELECT A, F, E WHERE I = 'Dog' ORDER BY F ASC, E ASC"", 0)"),"Wi Hel Mina Dream")</f>
        <v>Wi Hel Mina Dream</v>
      </c>
      <c r="L20" s="211">
        <f>IFERROR(__xludf.DUMMYFUNCTION("""COMPUTED_VALUE"""),12.0)</f>
        <v>12</v>
      </c>
      <c r="M20" s="212">
        <f>IFERROR(__xludf.DUMMYFUNCTION("""COMPUTED_VALUE"""),0.6516071428571428)</f>
        <v>0.6516071429</v>
      </c>
      <c r="O20" s="107"/>
      <c r="P20" s="109"/>
      <c r="Q20" s="111"/>
      <c r="R20" s="112"/>
      <c r="S20" s="111"/>
      <c r="T20" s="109"/>
    </row>
    <row r="21">
      <c r="G21" s="166" t="str">
        <f>IFERROR(__xludf.DUMMYFUNCTION("""COMPUTED_VALUE"""),"Tier 1 V60")</f>
        <v>Tier 1 V60</v>
      </c>
      <c r="H21" s="189" t="str">
        <f>IFERROR(__xludf.DUMMYFUNCTION("""COMPUTED_VALUE"""),"Puzzle")</f>
        <v>Puzzle</v>
      </c>
      <c r="I21" s="168">
        <f>IFERROR(__xludf.DUMMYFUNCTION("""COMPUTED_VALUE"""),0.7966666666666666)</f>
        <v>0.7966666667</v>
      </c>
      <c r="K21" s="210" t="str">
        <f>IFERROR(__xludf.DUMMYFUNCTION("""COMPUTED_VALUE"""),"Air mineral")</f>
        <v>Air mineral</v>
      </c>
      <c r="L21" s="211">
        <f>IFERROR(__xludf.DUMMYFUNCTION("""COMPUTED_VALUE"""),13.0)</f>
        <v>13</v>
      </c>
      <c r="M21" s="212">
        <f>IFERROR(__xludf.DUMMYFUNCTION("""COMPUTED_VALUE"""),0.6875)</f>
        <v>0.6875</v>
      </c>
    </row>
    <row r="22">
      <c r="G22" s="166" t="str">
        <f>IFERROR(__xludf.DUMMYFUNCTION("""COMPUTED_VALUE"""),"Espresso")</f>
        <v>Espresso</v>
      </c>
      <c r="H22" s="189" t="str">
        <f>IFERROR(__xludf.DUMMYFUNCTION("""COMPUTED_VALUE"""),"Puzzle")</f>
        <v>Puzzle</v>
      </c>
      <c r="I22" s="168">
        <f>IFERROR(__xludf.DUMMYFUNCTION("""COMPUTED_VALUE"""),0.7866666666666666)</f>
        <v>0.7866666667</v>
      </c>
      <c r="K22" s="210" t="str">
        <f>IFERROR(__xludf.DUMMYFUNCTION("""COMPUTED_VALUE"""),"Tier 2 V60")</f>
        <v>Tier 2 V60</v>
      </c>
      <c r="L22" s="211">
        <f>IFERROR(__xludf.DUMMYFUNCTION("""COMPUTED_VALUE"""),14.0)</f>
        <v>14</v>
      </c>
      <c r="M22" s="212">
        <f>IFERROR(__xludf.DUMMYFUNCTION("""COMPUTED_VALUE"""),0.45647058823529413)</f>
        <v>0.4564705882</v>
      </c>
    </row>
    <row r="23">
      <c r="G23" s="166" t="str">
        <f>IFERROR(__xludf.DUMMYFUNCTION("""COMPUTED_VALUE"""),"Tela goreng")</f>
        <v>Tela goreng</v>
      </c>
      <c r="H23" s="189" t="str">
        <f>IFERROR(__xludf.DUMMYFUNCTION("""COMPUTED_VALUE"""),"Puzzle")</f>
        <v>Puzzle</v>
      </c>
      <c r="I23" s="168">
        <f>IFERROR(__xludf.DUMMYFUNCTION("""COMPUTED_VALUE"""),0.779)</f>
        <v>0.779</v>
      </c>
      <c r="K23" s="210" t="str">
        <f>IFERROR(__xludf.DUMMYFUNCTION("""COMPUTED_VALUE"""),"Pretty Queen")</f>
        <v>Pretty Queen</v>
      </c>
      <c r="L23" s="211">
        <f>IFERROR(__xludf.DUMMYFUNCTION("""COMPUTED_VALUE"""),16.0)</f>
        <v>16</v>
      </c>
      <c r="M23" s="212">
        <f>IFERROR(__xludf.DUMMYFUNCTION("""COMPUTED_VALUE"""),0.5416666666666666)</f>
        <v>0.5416666667</v>
      </c>
    </row>
    <row r="24">
      <c r="G24" s="166" t="str">
        <f>IFERROR(__xludf.DUMMYFUNCTION("""COMPUTED_VALUE"""),"Singkong goreng")</f>
        <v>Singkong goreng</v>
      </c>
      <c r="H24" s="189" t="str">
        <f>IFERROR(__xludf.DUMMYFUNCTION("""COMPUTED_VALUE"""),"Puzzle")</f>
        <v>Puzzle</v>
      </c>
      <c r="I24" s="168">
        <f>IFERROR(__xludf.DUMMYFUNCTION("""COMPUTED_VALUE"""),0.779)</f>
        <v>0.779</v>
      </c>
      <c r="K24" s="210" t="str">
        <f>IFERROR(__xludf.DUMMYFUNCTION("""COMPUTED_VALUE"""),"Cappucino")</f>
        <v>Cappucino</v>
      </c>
      <c r="L24" s="211">
        <f>IFERROR(__xludf.DUMMYFUNCTION("""COMPUTED_VALUE"""),20.0)</f>
        <v>20</v>
      </c>
      <c r="M24" s="212">
        <f>IFERROR(__xludf.DUMMYFUNCTION("""COMPUTED_VALUE"""),0.694)</f>
        <v>0.694</v>
      </c>
    </row>
    <row r="25">
      <c r="G25" s="166" t="str">
        <f>IFERROR(__xludf.DUMMYFUNCTION("""COMPUTED_VALUE"""),"Cikalopi")</f>
        <v>Cikalopi</v>
      </c>
      <c r="H25" s="189" t="str">
        <f>IFERROR(__xludf.DUMMYFUNCTION("""COMPUTED_VALUE"""),"Puzzle")</f>
        <v>Puzzle</v>
      </c>
      <c r="I25" s="168">
        <f>IFERROR(__xludf.DUMMYFUNCTION("""COMPUTED_VALUE"""),0.7777272727272727)</f>
        <v>0.7777272727</v>
      </c>
      <c r="K25" s="210" t="str">
        <f>IFERROR(__xludf.DUMMYFUNCTION("""COMPUTED_VALUE"""),"Hongkong Soft Tale")</f>
        <v>Hongkong Soft Tale</v>
      </c>
      <c r="L25" s="211">
        <f>IFERROR(__xludf.DUMMYFUNCTION("""COMPUTED_VALUE"""),25.0)</f>
        <v>25</v>
      </c>
      <c r="M25" s="212">
        <f>IFERROR(__xludf.DUMMYFUNCTION("""COMPUTED_VALUE"""),0.5714285714285714)</f>
        <v>0.5714285714</v>
      </c>
    </row>
    <row r="26">
      <c r="G26" s="166" t="str">
        <f>IFERROR(__xludf.DUMMYFUNCTION("""COMPUTED_VALUE"""),"Aubergine Crunch")</f>
        <v>Aubergine Crunch</v>
      </c>
      <c r="H26" s="189" t="str">
        <f>IFERROR(__xludf.DUMMYFUNCTION("""COMPUTED_VALUE"""),"Puzzle")</f>
        <v>Puzzle</v>
      </c>
      <c r="I26" s="168">
        <f>IFERROR(__xludf.DUMMYFUNCTION("""COMPUTED_VALUE"""),0.7727272727272727)</f>
        <v>0.7727272727</v>
      </c>
      <c r="K26" s="210" t="str">
        <f>IFERROR(__xludf.DUMMYFUNCTION("""COMPUTED_VALUE"""),"Chun Matcha")</f>
        <v>Chun Matcha</v>
      </c>
      <c r="L26" s="211">
        <f>IFERROR(__xludf.DUMMYFUNCTION("""COMPUTED_VALUE"""),30.0)</f>
        <v>30</v>
      </c>
      <c r="M26" s="212">
        <f>IFERROR(__xludf.DUMMYFUNCTION("""COMPUTED_VALUE"""),0.6428571428571429)</f>
        <v>0.6428571429</v>
      </c>
    </row>
    <row r="27">
      <c r="G27" s="213" t="str">
        <f>IFERROR(__xludf.DUMMYFUNCTION("""COMPUTED_VALUE"""),"Red Light District")</f>
        <v>Red Light District</v>
      </c>
      <c r="H27" s="214" t="str">
        <f>IFERROR(__xludf.DUMMYFUNCTION("""COMPUTED_VALUE"""),"Puzzle")</f>
        <v>Puzzle</v>
      </c>
      <c r="I27" s="215">
        <f>IFERROR(__xludf.DUMMYFUNCTION("""COMPUTED_VALUE"""),0.7452380952380953)</f>
        <v>0.7452380952</v>
      </c>
      <c r="K27" s="210" t="str">
        <f>IFERROR(__xludf.DUMMYFUNCTION("""COMPUTED_VALUE"""),"Jong Java")</f>
        <v>Jong Java</v>
      </c>
      <c r="L27" s="211">
        <f>IFERROR(__xludf.DUMMYFUNCTION("""COMPUTED_VALUE"""),31.0)</f>
        <v>31</v>
      </c>
      <c r="M27" s="212">
        <f>IFERROR(__xludf.DUMMYFUNCTION("""COMPUTED_VALUE"""),0.5119047619047619)</f>
        <v>0.5119047619</v>
      </c>
    </row>
    <row r="28">
      <c r="K28" s="210" t="str">
        <f>IFERROR(__xludf.DUMMYFUNCTION("""COMPUTED_VALUE"""),"Nastar Frappe")</f>
        <v>Nastar Frappe</v>
      </c>
      <c r="L28" s="211">
        <f>IFERROR(__xludf.DUMMYFUNCTION("""COMPUTED_VALUE"""),34.0)</f>
        <v>34</v>
      </c>
      <c r="M28" s="212">
        <f>IFERROR(__xludf.DUMMYFUNCTION("""COMPUTED_VALUE"""),0.716)</f>
        <v>0.716</v>
      </c>
    </row>
    <row r="29">
      <c r="K29" s="210" t="str">
        <f>IFERROR(__xludf.DUMMYFUNCTION("""COMPUTED_VALUE"""),"Tier 3 V60")</f>
        <v>Tier 3 V60</v>
      </c>
      <c r="L29" s="211">
        <f>IFERROR(__xludf.DUMMYFUNCTION("""COMPUTED_VALUE"""),38.0)</f>
        <v>38</v>
      </c>
      <c r="M29" s="212">
        <f>IFERROR(__xludf.DUMMYFUNCTION("""COMPUTED_VALUE"""),0.3845454545454545)</f>
        <v>0.3845454545</v>
      </c>
    </row>
    <row r="30">
      <c r="K30" s="216" t="str">
        <f>IFERROR(__xludf.DUMMYFUNCTION("""COMPUTED_VALUE"""),"Sunny Beach")</f>
        <v>Sunny Beach</v>
      </c>
      <c r="L30" s="217">
        <f>IFERROR(__xludf.DUMMYFUNCTION("""COMPUTED_VALUE"""),41.0)</f>
        <v>41</v>
      </c>
      <c r="M30" s="218">
        <f>IFERROR(__xludf.DUMMYFUNCTION("""COMPUTED_VALUE"""),0.716)</f>
        <v>0.716</v>
      </c>
    </row>
  </sheetData>
  <mergeCells count="13">
    <mergeCell ref="G5:I5"/>
    <mergeCell ref="K5:M5"/>
    <mergeCell ref="G6:I6"/>
    <mergeCell ref="K6:M6"/>
    <mergeCell ref="K17:M17"/>
    <mergeCell ref="K18:M18"/>
    <mergeCell ref="G1:M1"/>
    <mergeCell ref="H2:I2"/>
    <mergeCell ref="L2:M2"/>
    <mergeCell ref="H3:I3"/>
    <mergeCell ref="L3:M3"/>
    <mergeCell ref="H4:I4"/>
    <mergeCell ref="L4:M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5.13"/>
    <col customWidth="1" min="2" max="2" width="13.88"/>
    <col customWidth="1" min="3" max="3" width="11.38"/>
    <col customWidth="1" min="4" max="4" width="10.75"/>
    <col customWidth="1" min="5" max="5" width="11.38"/>
    <col customWidth="1" min="6" max="8" width="10.75"/>
    <col customWidth="1" min="9" max="12" width="11.38"/>
    <col customWidth="1" min="13" max="16" width="15.75"/>
  </cols>
  <sheetData>
    <row r="1" ht="18.0" customHeight="1">
      <c r="A1" s="21" t="s">
        <v>78</v>
      </c>
      <c r="B1" s="22"/>
      <c r="C1" s="21" t="s">
        <v>81</v>
      </c>
      <c r="D1" s="23"/>
      <c r="E1" s="22"/>
      <c r="F1" s="25" t="s">
        <v>83</v>
      </c>
      <c r="G1" s="26"/>
      <c r="H1" s="27"/>
      <c r="I1" s="28" t="s">
        <v>84</v>
      </c>
      <c r="J1" s="29"/>
      <c r="K1" s="30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27.0" customHeight="1">
      <c r="A2" s="33">
        <f>Calc_Data!Y1</f>
        <v>53797500</v>
      </c>
      <c r="B2" s="34"/>
      <c r="C2" s="33">
        <f>Calc_Data!Y2</f>
        <v>11360945</v>
      </c>
      <c r="E2" s="34"/>
      <c r="F2" s="35">
        <f>Calc_Data!Y7</f>
        <v>11788100</v>
      </c>
      <c r="H2" s="36"/>
      <c r="I2" s="37">
        <f>Calc_Data!Y2-Calc_Data!Y7</f>
        <v>-427155</v>
      </c>
      <c r="K2" s="38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16.5" customHeight="1">
      <c r="A3" s="39" t="s">
        <v>100</v>
      </c>
      <c r="B3" s="40"/>
      <c r="C3" s="39" t="s">
        <v>102</v>
      </c>
      <c r="D3" s="41"/>
      <c r="E3" s="40"/>
      <c r="F3" s="42" t="s">
        <v>104</v>
      </c>
      <c r="G3" s="43"/>
      <c r="H3" s="44"/>
      <c r="I3" s="45" t="s">
        <v>106</v>
      </c>
      <c r="J3" s="46"/>
      <c r="K3" s="47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9.0" customHeight="1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9.0" customHeight="1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21.0" customHeight="1">
      <c r="A6" s="48" t="s">
        <v>112</v>
      </c>
      <c r="B6" s="49"/>
      <c r="C6" s="50" t="s">
        <v>115</v>
      </c>
      <c r="D6" s="51" t="s">
        <v>116</v>
      </c>
      <c r="E6" s="49"/>
      <c r="F6" s="51" t="s">
        <v>119</v>
      </c>
      <c r="G6" s="49"/>
      <c r="H6" s="51" t="s">
        <v>121</v>
      </c>
      <c r="I6" s="52"/>
      <c r="J6" s="52"/>
      <c r="K6" s="53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9.5" customHeight="1">
      <c r="A7" s="54" t="s">
        <v>125</v>
      </c>
      <c r="B7" s="55"/>
      <c r="C7" s="57">
        <f>Calc_Data!Y5/Calc_Data!Y1</f>
        <v>0.281114457</v>
      </c>
      <c r="D7" s="58" t="s">
        <v>127</v>
      </c>
      <c r="E7" s="55"/>
      <c r="F7" s="59" t="str">
        <f>IF(C7&lt;=35%, "AMAN (EFISIEN)", "PERLU EFISIENSI")</f>
        <v>AMAN (EFISIEN)</v>
      </c>
      <c r="G7" s="55"/>
      <c r="H7" s="60" t="s">
        <v>132</v>
      </c>
      <c r="I7" s="61"/>
      <c r="J7" s="61"/>
      <c r="K7" s="62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9.5" customHeight="1">
      <c r="A8" s="54" t="s">
        <v>135</v>
      </c>
      <c r="B8" s="55"/>
      <c r="C8" s="57">
        <f t="array" ref="C8">INDEX(Calc_Data!AD:AD, MATCH("Gaji", Calc_Data!AC:AC, 0))/Calc_Data!Y1</f>
        <v>0.1376458014</v>
      </c>
      <c r="D8" s="58" t="s">
        <v>136</v>
      </c>
      <c r="E8" s="55"/>
      <c r="F8" s="59" t="str">
        <f>IF(C8&lt;=20%, "IDEAL (PRODUKTIF)", "TINGGI")</f>
        <v>IDEAL (PRODUKTIF)</v>
      </c>
      <c r="G8" s="55"/>
      <c r="H8" s="60" t="s">
        <v>138</v>
      </c>
      <c r="I8" s="61"/>
      <c r="J8" s="61"/>
      <c r="K8" s="62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9.5" customHeight="1">
      <c r="A9" s="63" t="s">
        <v>140</v>
      </c>
      <c r="B9" s="64"/>
      <c r="C9" s="65">
        <f>Calc_Data!Y2/Calc_Data!Y1</f>
        <v>0.2111797946</v>
      </c>
      <c r="D9" s="66" t="s">
        <v>143</v>
      </c>
      <c r="E9" s="64"/>
      <c r="F9" s="67" t="str">
        <f>IF(C9&gt;=20%, "SANGAT SEHAT", "DI BAWAH TARGET")</f>
        <v>SANGAT SEHAT</v>
      </c>
      <c r="G9" s="64"/>
      <c r="H9" s="68" t="s">
        <v>145</v>
      </c>
      <c r="I9" s="69"/>
      <c r="J9" s="69"/>
      <c r="K9" s="70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0.5" customHeight="1">
      <c r="A10" s="31"/>
      <c r="B10" s="71"/>
      <c r="C10" s="7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21.0" customHeight="1">
      <c r="A11" s="72" t="s">
        <v>147</v>
      </c>
      <c r="B11" s="52"/>
      <c r="C11" s="52"/>
      <c r="D11" s="52"/>
      <c r="E11" s="52"/>
      <c r="F11" s="52"/>
      <c r="G11" s="52"/>
      <c r="H11" s="52"/>
      <c r="I11" s="52"/>
      <c r="J11" s="52"/>
      <c r="K11" s="53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9.5" customHeight="1">
      <c r="A12" s="73" t="s">
        <v>148</v>
      </c>
      <c r="B12" s="61"/>
      <c r="C12" s="61"/>
      <c r="D12" s="55"/>
      <c r="E12" s="74" t="s">
        <v>149</v>
      </c>
      <c r="F12" s="55"/>
      <c r="G12" s="74" t="s">
        <v>150</v>
      </c>
      <c r="H12" s="55"/>
      <c r="I12" s="74" t="s">
        <v>151</v>
      </c>
      <c r="J12" s="61"/>
      <c r="K12" s="62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9.5" customHeight="1">
      <c r="A13" s="75" t="s">
        <v>152</v>
      </c>
      <c r="B13" s="61"/>
      <c r="C13" s="61"/>
      <c r="D13" s="55"/>
      <c r="E13" s="77">
        <f>Calc_Data!Y1</f>
        <v>53797500</v>
      </c>
      <c r="F13" s="55"/>
      <c r="G13" s="79" t="s">
        <v>155</v>
      </c>
      <c r="H13" s="55"/>
      <c r="I13" s="81" t="s">
        <v>156</v>
      </c>
      <c r="J13" s="61"/>
      <c r="K13" s="62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9.5" customHeight="1">
      <c r="A14" s="75" t="s">
        <v>159</v>
      </c>
      <c r="B14" s="61"/>
      <c r="C14" s="61"/>
      <c r="D14" s="55"/>
      <c r="E14" s="77">
        <f>Calc_Data!W2</f>
        <v>15752572</v>
      </c>
      <c r="F14" s="55"/>
      <c r="G14" s="79" t="s">
        <v>162</v>
      </c>
      <c r="H14" s="55"/>
      <c r="I14" s="81" t="s">
        <v>163</v>
      </c>
      <c r="J14" s="61"/>
      <c r="K14" s="62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9.5" customHeight="1">
      <c r="A15" s="75" t="s">
        <v>164</v>
      </c>
      <c r="B15" s="61"/>
      <c r="C15" s="61"/>
      <c r="D15" s="55"/>
      <c r="E15" s="77">
        <f t="array" ref="E15">INDEX(Calc_Data!AD:AD, MATCH("Gaji", Calc_Data!AC:AC, 0))</f>
        <v>7405000</v>
      </c>
      <c r="F15" s="55"/>
      <c r="G15" s="79" t="s">
        <v>162</v>
      </c>
      <c r="H15" s="55"/>
      <c r="I15" s="81" t="s">
        <v>167</v>
      </c>
      <c r="J15" s="61"/>
      <c r="K15" s="62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9.5" customHeight="1">
      <c r="A16" s="75" t="s">
        <v>168</v>
      </c>
      <c r="B16" s="61"/>
      <c r="C16" s="61"/>
      <c r="D16" s="55"/>
      <c r="E16" s="77">
        <f>Calc_Data!Y7</f>
        <v>11788100</v>
      </c>
      <c r="F16" s="55"/>
      <c r="G16" s="79" t="s">
        <v>169</v>
      </c>
      <c r="H16" s="55"/>
      <c r="I16" s="81" t="s">
        <v>170</v>
      </c>
      <c r="J16" s="61"/>
      <c r="K16" s="62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9.5" customHeight="1">
      <c r="A17" s="91" t="s">
        <v>171</v>
      </c>
      <c r="B17" s="61"/>
      <c r="C17" s="61"/>
      <c r="D17" s="55"/>
      <c r="E17" s="93">
        <f>Calc_Data!Y2-Calc_Data!Y7</f>
        <v>-427155</v>
      </c>
      <c r="F17" s="55"/>
      <c r="G17" s="94" t="s">
        <v>173</v>
      </c>
      <c r="H17" s="55"/>
      <c r="I17" s="96" t="s">
        <v>174</v>
      </c>
      <c r="J17" s="61"/>
      <c r="K17" s="62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9.5" customHeight="1">
      <c r="A18" s="100" t="s">
        <v>177</v>
      </c>
      <c r="B18" s="69"/>
      <c r="C18" s="69"/>
      <c r="D18" s="64"/>
      <c r="E18" s="105" t="str">
        <f>IF(E17&gt;0, "AMAN DITARIK", "TUNDA PENARIKAN")</f>
        <v>TUNDA PENARIKAN</v>
      </c>
      <c r="F18" s="64"/>
      <c r="G18" s="106" t="s">
        <v>180</v>
      </c>
      <c r="H18" s="64"/>
      <c r="I18" s="108" t="str">
        <f>IF(E17&gt;0, "Likuiditas mencukupi, disarankan menyisakan saldo buffer 10%", "Operasional ketat, prioritaskan cadangan bahan baku &amp; payroll")</f>
        <v>Operasional ketat, prioritaskan cadangan bahan baku &amp; payroll</v>
      </c>
      <c r="J18" s="69"/>
      <c r="K18" s="70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>
      <c r="A19" s="31"/>
      <c r="B19" s="31"/>
      <c r="C19" s="110"/>
      <c r="D19" s="110"/>
      <c r="E19" s="31"/>
      <c r="F19" s="31"/>
      <c r="G19" s="110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>
      <c r="A20" s="31"/>
      <c r="B20" s="31"/>
      <c r="C20" s="110"/>
      <c r="D20" s="110"/>
      <c r="E20" s="31"/>
      <c r="F20" s="31"/>
      <c r="G20" s="110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>
      <c r="A21" s="31"/>
      <c r="B21" s="31"/>
      <c r="C21" s="110"/>
      <c r="D21" s="110"/>
      <c r="E21" s="31"/>
      <c r="F21" s="31"/>
      <c r="G21" s="110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>
      <c r="A22" s="31"/>
      <c r="B22" s="31"/>
      <c r="C22" s="110"/>
      <c r="D22" s="110"/>
      <c r="E22" s="31"/>
      <c r="F22" s="31"/>
      <c r="G22" s="110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>
      <c r="A23" s="31"/>
      <c r="B23" s="31"/>
      <c r="C23" s="110"/>
      <c r="D23" s="110"/>
      <c r="E23" s="31"/>
      <c r="F23" s="31"/>
      <c r="G23" s="110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>
      <c r="A24" s="31"/>
      <c r="B24" s="31"/>
      <c r="C24" s="31"/>
      <c r="D24" s="31"/>
      <c r="E24" s="31"/>
      <c r="F24" s="31"/>
      <c r="G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>
      <c r="A25" s="31"/>
      <c r="B25" s="31"/>
      <c r="C25" s="31"/>
      <c r="D25" s="31"/>
      <c r="E25" s="31"/>
      <c r="F25" s="31"/>
      <c r="G25" s="31"/>
      <c r="K25" s="31"/>
      <c r="L25" s="117" t="str">
        <f>IFERROR(__xludf.DUMMYFUNCTION("QUERY({ARRAYFORMULA(IF(Calc_Data!A2:A1008="""", """", YEAR(Calc_Data!A2:A1008)&amp;""-W""&amp;TEXT(ISOWEEKNUM(Calc_Data!A2:A1008),""00""))), Calc_Data!B2:E1008}, ""Select Col1, sum(Col2), sum(Col4), sum(Col3), sum(Col5) where Col1 is not null and Col1 &lt;&gt; '' group"&amp;" by Col1 label Col1 'Minggu', sum(Col2) 'Total Pendapatan', sum(Col4) 'Total Pengeluaran', sum(Col3) 'Total COGS', sum(Col5) 'Laba Bersih'"")"),"Minggu")</f>
        <v>Minggu</v>
      </c>
      <c r="M25" s="118" t="str">
        <f>IFERROR(__xludf.DUMMYFUNCTION("""COMPUTED_VALUE"""),"Total Pendapatan")</f>
        <v>Total Pendapatan</v>
      </c>
      <c r="N25" s="118" t="str">
        <f>IFERROR(__xludf.DUMMYFUNCTION("""COMPUTED_VALUE"""),"Total Pengeluaran")</f>
        <v>Total Pengeluaran</v>
      </c>
      <c r="O25" s="118" t="str">
        <f>IFERROR(__xludf.DUMMYFUNCTION("""COMPUTED_VALUE"""),"Total COGS")</f>
        <v>Total COGS</v>
      </c>
      <c r="P25" s="120" t="str">
        <f>IFERROR(__xludf.DUMMYFUNCTION("""COMPUTED_VALUE"""),"Laba Bersih")</f>
        <v>Laba Bersih</v>
      </c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>
      <c r="A26" s="31"/>
      <c r="B26" s="31"/>
      <c r="C26" s="31"/>
      <c r="D26" s="31"/>
      <c r="E26" s="31"/>
      <c r="F26" s="31"/>
      <c r="G26" s="31"/>
      <c r="K26" s="31"/>
      <c r="L26" s="123" t="str">
        <f>IFERROR(__xludf.DUMMYFUNCTION("""COMPUTED_VALUE"""),"2026-W33")</f>
        <v>2026-W33</v>
      </c>
      <c r="M26" s="125">
        <f>IFERROR(__xludf.DUMMYFUNCTION("""COMPUTED_VALUE"""),1.7662E7)</f>
        <v>17662000</v>
      </c>
      <c r="N26" s="125">
        <f>IFERROR(__xludf.DUMMYFUNCTION("""COMPUTED_VALUE"""),4104800.0)</f>
        <v>4104800</v>
      </c>
      <c r="O26" s="125">
        <f>IFERROR(__xludf.DUMMYFUNCTION("""COMPUTED_VALUE"""),5209186.0)</f>
        <v>5209186</v>
      </c>
      <c r="P26" s="127">
        <f>IFERROR(__xludf.DUMMYFUNCTION("""COMPUTED_VALUE"""),8348014.0)</f>
        <v>8348014</v>
      </c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>
      <c r="A27" s="31"/>
      <c r="B27" s="31"/>
      <c r="C27" s="31"/>
      <c r="D27" s="31"/>
      <c r="E27" s="31"/>
      <c r="F27" s="31"/>
      <c r="G27" s="31"/>
      <c r="K27" s="31"/>
      <c r="L27" s="123" t="str">
        <f>IFERROR(__xludf.DUMMYFUNCTION("""COMPUTED_VALUE"""),"2026-W34")</f>
        <v>2026-W34</v>
      </c>
      <c r="M27" s="125">
        <f>IFERROR(__xludf.DUMMYFUNCTION("""COMPUTED_VALUE"""),1.3569E7)</f>
        <v>13569000</v>
      </c>
      <c r="N27" s="125">
        <f>IFERROR(__xludf.DUMMYFUNCTION("""COMPUTED_VALUE"""),5698500.0)</f>
        <v>5698500</v>
      </c>
      <c r="O27" s="125">
        <f>IFERROR(__xludf.DUMMYFUNCTION("""COMPUTED_VALUE"""),2711608.0)</f>
        <v>2711608</v>
      </c>
      <c r="P27" s="127">
        <f>IFERROR(__xludf.DUMMYFUNCTION("""COMPUTED_VALUE"""),5158892.0)</f>
        <v>5158892</v>
      </c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>
      <c r="A28" s="31"/>
      <c r="B28" s="31"/>
      <c r="C28" s="31"/>
      <c r="D28" s="31"/>
      <c r="E28" s="31"/>
      <c r="F28" s="31"/>
      <c r="G28" s="31"/>
      <c r="K28" s="31"/>
      <c r="L28" s="123" t="str">
        <f>IFERROR(__xludf.DUMMYFUNCTION("""COMPUTED_VALUE"""),"2026-W35")</f>
        <v>2026-W35</v>
      </c>
      <c r="M28" s="125">
        <f>IFERROR(__xludf.DUMMYFUNCTION("""COMPUTED_VALUE"""),8689000.0)</f>
        <v>8689000</v>
      </c>
      <c r="N28" s="125">
        <f>IFERROR(__xludf.DUMMYFUNCTION("""COMPUTED_VALUE"""),1.0684E7)</f>
        <v>10684000</v>
      </c>
      <c r="O28" s="125">
        <f>IFERROR(__xludf.DUMMYFUNCTION("""COMPUTED_VALUE"""),2592797.0)</f>
        <v>2592797</v>
      </c>
      <c r="P28" s="127">
        <f>IFERROR(__xludf.DUMMYFUNCTION("""COMPUTED_VALUE"""),-4587797.0)</f>
        <v>-4587797</v>
      </c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>
      <c r="A29" s="31"/>
      <c r="B29" s="31"/>
      <c r="C29" s="31"/>
      <c r="D29" s="31"/>
      <c r="E29" s="31"/>
      <c r="F29" s="31"/>
      <c r="G29" s="31"/>
      <c r="K29" s="31"/>
      <c r="L29" s="123" t="str">
        <f>IFERROR(__xludf.DUMMYFUNCTION("""COMPUTED_VALUE"""),"2026-W36")</f>
        <v>2026-W36</v>
      </c>
      <c r="M29" s="125">
        <f>IFERROR(__xludf.DUMMYFUNCTION("""COMPUTED_VALUE"""),8275000.0)</f>
        <v>8275000</v>
      </c>
      <c r="N29" s="125">
        <f>IFERROR(__xludf.DUMMYFUNCTION("""COMPUTED_VALUE"""),1176000.0)</f>
        <v>1176000</v>
      </c>
      <c r="O29" s="125">
        <f>IFERROR(__xludf.DUMMYFUNCTION("""COMPUTED_VALUE"""),2715637.0)</f>
        <v>2715637</v>
      </c>
      <c r="P29" s="127">
        <f>IFERROR(__xludf.DUMMYFUNCTION("""COMPUTED_VALUE"""),4383363.0)</f>
        <v>4383363</v>
      </c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>
      <c r="A30" s="31"/>
      <c r="B30" s="31"/>
      <c r="C30" s="31"/>
      <c r="D30" s="31"/>
      <c r="E30" s="31"/>
      <c r="F30" s="31"/>
      <c r="G30" s="31"/>
      <c r="K30" s="31"/>
      <c r="L30" s="133" t="str">
        <f>IFERROR(__xludf.DUMMYFUNCTION("""COMPUTED_VALUE"""),"2026-W37")</f>
        <v>2026-W37</v>
      </c>
      <c r="M30" s="134">
        <f>IFERROR(__xludf.DUMMYFUNCTION("""COMPUTED_VALUE"""),5602500.0)</f>
        <v>5602500</v>
      </c>
      <c r="N30" s="134">
        <f>IFERROR(__xludf.DUMMYFUNCTION("""COMPUTED_VALUE"""),5650000.0)</f>
        <v>5650000</v>
      </c>
      <c r="O30" s="134">
        <f>IFERROR(__xludf.DUMMYFUNCTION("""COMPUTED_VALUE"""),1894027.0)</f>
        <v>1894027</v>
      </c>
      <c r="P30" s="138">
        <f>IFERROR(__xludf.DUMMYFUNCTION("""COMPUTED_VALUE"""),-1941527.0)</f>
        <v>-1941527</v>
      </c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>
      <c r="A31" s="31"/>
      <c r="B31" s="31"/>
      <c r="C31" s="31"/>
      <c r="D31" s="31"/>
      <c r="E31" s="31"/>
      <c r="F31" s="31"/>
      <c r="G31" s="31"/>
      <c r="K31" s="31"/>
      <c r="L31" s="31"/>
      <c r="M31" s="110"/>
      <c r="N31" s="110"/>
      <c r="O31" s="110"/>
      <c r="P31" s="110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>
      <c r="A32" s="31"/>
      <c r="B32" s="31"/>
      <c r="C32" s="31"/>
      <c r="D32" s="31"/>
      <c r="E32" s="31"/>
      <c r="F32" s="31"/>
      <c r="G32" s="31"/>
      <c r="K32" s="31"/>
      <c r="L32" s="31"/>
      <c r="M32" s="110"/>
      <c r="N32" s="110"/>
      <c r="O32" s="110"/>
      <c r="P32" s="110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>
      <c r="A33" s="31"/>
      <c r="B33" s="31"/>
      <c r="C33" s="31"/>
      <c r="D33" s="31"/>
      <c r="E33" s="31"/>
      <c r="F33" s="31"/>
      <c r="G33" s="31"/>
      <c r="K33" s="31"/>
      <c r="L33" s="31"/>
      <c r="M33" s="110"/>
      <c r="N33" s="110"/>
      <c r="O33" s="110"/>
      <c r="P33" s="110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>
      <c r="A34" s="31"/>
      <c r="B34" s="31"/>
      <c r="C34" s="31"/>
      <c r="D34" s="31"/>
      <c r="E34" s="31"/>
      <c r="F34" s="31"/>
      <c r="G34" s="31"/>
      <c r="K34" s="31"/>
      <c r="L34" s="31"/>
      <c r="M34" s="110"/>
      <c r="N34" s="110"/>
      <c r="O34" s="110"/>
      <c r="P34" s="110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>
      <c r="A35" s="31"/>
      <c r="B35" s="31"/>
      <c r="C35" s="31"/>
      <c r="D35" s="31"/>
      <c r="E35" s="31"/>
      <c r="F35" s="31"/>
      <c r="G35" s="31"/>
      <c r="K35" s="31"/>
      <c r="L35" s="31"/>
      <c r="M35" s="110"/>
      <c r="N35" s="110"/>
      <c r="O35" s="110"/>
      <c r="P35" s="110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>
      <c r="A36" s="31"/>
      <c r="B36" s="31"/>
      <c r="C36" s="31"/>
      <c r="D36" s="31"/>
      <c r="E36" s="31"/>
      <c r="F36" s="31"/>
      <c r="G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>
      <c r="A37" s="31"/>
      <c r="B37" s="31"/>
      <c r="C37" s="31"/>
      <c r="D37" s="31"/>
      <c r="E37" s="31"/>
      <c r="F37" s="31"/>
      <c r="G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>
      <c r="A38" s="31"/>
      <c r="B38" s="31"/>
      <c r="C38" s="31"/>
      <c r="D38" s="31"/>
      <c r="E38" s="31"/>
      <c r="F38" s="31"/>
      <c r="G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>
      <c r="A39" s="31"/>
      <c r="B39" s="31"/>
      <c r="C39" s="31"/>
      <c r="D39" s="31"/>
      <c r="E39" s="31"/>
      <c r="F39" s="31"/>
      <c r="G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>
      <c r="A40" s="31"/>
      <c r="B40" s="31"/>
      <c r="C40" s="31"/>
      <c r="D40" s="31"/>
      <c r="E40" s="31"/>
      <c r="F40" s="31"/>
      <c r="G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>
      <c r="A41" s="31"/>
      <c r="B41" s="31"/>
      <c r="C41" s="31"/>
      <c r="D41" s="31"/>
      <c r="E41" s="31"/>
      <c r="F41" s="31"/>
      <c r="G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>
      <c r="A42" s="31"/>
      <c r="B42" s="31"/>
      <c r="C42" s="31"/>
      <c r="D42" s="31"/>
      <c r="E42" s="31"/>
      <c r="F42" s="31"/>
      <c r="G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>
      <c r="A43" s="31"/>
      <c r="B43" s="31"/>
      <c r="C43" s="31"/>
      <c r="D43" s="31"/>
      <c r="E43" s="31"/>
      <c r="F43" s="31"/>
      <c r="G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>
      <c r="A44" s="31"/>
      <c r="B44" s="31"/>
      <c r="C44" s="31"/>
      <c r="D44" s="31"/>
      <c r="E44" s="31"/>
      <c r="F44" s="31"/>
      <c r="G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>
      <c r="A45" s="31"/>
      <c r="B45" s="31"/>
      <c r="C45" s="31"/>
      <c r="D45" s="31"/>
      <c r="E45" s="31"/>
      <c r="F45" s="31"/>
      <c r="G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>
      <c r="A46" s="31"/>
      <c r="B46" s="31"/>
      <c r="C46" s="31"/>
      <c r="D46" s="31"/>
      <c r="E46" s="31"/>
      <c r="F46" s="31"/>
      <c r="G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>
      <c r="A47" s="31"/>
      <c r="B47" s="31"/>
      <c r="C47" s="31"/>
      <c r="D47" s="31"/>
      <c r="E47" s="31"/>
      <c r="F47" s="31"/>
      <c r="G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>
      <c r="A48" s="31"/>
      <c r="B48" s="31"/>
      <c r="C48" s="31"/>
      <c r="D48" s="31"/>
      <c r="E48" s="31"/>
      <c r="F48" s="31"/>
      <c r="G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>
      <c r="A49" s="31"/>
      <c r="B49" s="31"/>
      <c r="C49" s="31"/>
      <c r="D49" s="31"/>
      <c r="E49" s="31"/>
      <c r="F49" s="31"/>
      <c r="G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>
      <c r="A50" s="31"/>
      <c r="B50" s="31"/>
      <c r="C50" s="31"/>
      <c r="D50" s="31"/>
      <c r="E50" s="31"/>
      <c r="F50" s="31"/>
      <c r="G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</row>
    <row r="1003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</row>
    <row r="1004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</row>
    <row r="1005">
      <c r="A1005" s="31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</row>
    <row r="1006">
      <c r="A1006" s="31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</row>
    <row r="1007">
      <c r="A1007" s="31"/>
      <c r="B1007" s="31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</row>
    <row r="1008">
      <c r="A1008" s="31"/>
      <c r="B1008" s="31"/>
      <c r="C1008" s="31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</row>
  </sheetData>
  <mergeCells count="57">
    <mergeCell ref="A8:B8"/>
    <mergeCell ref="D8:E8"/>
    <mergeCell ref="F8:G8"/>
    <mergeCell ref="H8:K8"/>
    <mergeCell ref="A9:B9"/>
    <mergeCell ref="D9:E9"/>
    <mergeCell ref="F9:G9"/>
    <mergeCell ref="H9:K9"/>
    <mergeCell ref="A11:K11"/>
    <mergeCell ref="A12:D12"/>
    <mergeCell ref="E12:F12"/>
    <mergeCell ref="G12:H12"/>
    <mergeCell ref="I12:K12"/>
    <mergeCell ref="I13:K13"/>
    <mergeCell ref="G15:H15"/>
    <mergeCell ref="I15:K15"/>
    <mergeCell ref="A13:D13"/>
    <mergeCell ref="A14:D14"/>
    <mergeCell ref="E14:F14"/>
    <mergeCell ref="G14:H14"/>
    <mergeCell ref="I14:K14"/>
    <mergeCell ref="A15:D15"/>
    <mergeCell ref="E15:F15"/>
    <mergeCell ref="A1:B1"/>
    <mergeCell ref="C1:E1"/>
    <mergeCell ref="F1:H1"/>
    <mergeCell ref="I1:K1"/>
    <mergeCell ref="C2:E2"/>
    <mergeCell ref="F2:H2"/>
    <mergeCell ref="I2:K2"/>
    <mergeCell ref="F6:G6"/>
    <mergeCell ref="H6:K6"/>
    <mergeCell ref="D6:E6"/>
    <mergeCell ref="D7:E7"/>
    <mergeCell ref="F7:G7"/>
    <mergeCell ref="H7:K7"/>
    <mergeCell ref="A2:B2"/>
    <mergeCell ref="A3:B3"/>
    <mergeCell ref="C3:E3"/>
    <mergeCell ref="F3:H3"/>
    <mergeCell ref="I3:K3"/>
    <mergeCell ref="A6:B6"/>
    <mergeCell ref="A7:B7"/>
    <mergeCell ref="E13:F13"/>
    <mergeCell ref="G13:H13"/>
    <mergeCell ref="A17:D17"/>
    <mergeCell ref="A18:D18"/>
    <mergeCell ref="E18:F18"/>
    <mergeCell ref="G18:H18"/>
    <mergeCell ref="I18:K18"/>
    <mergeCell ref="A16:D16"/>
    <mergeCell ref="E16:F16"/>
    <mergeCell ref="G16:H16"/>
    <mergeCell ref="I16:K16"/>
    <mergeCell ref="E17:F17"/>
    <mergeCell ref="G17:H17"/>
    <mergeCell ref="I17:K17"/>
  </mergeCells>
  <conditionalFormatting sqref="C7">
    <cfRule type="cellIs" dxfId="4" priority="1" stopIfTrue="1" operator="lessThanOrEqual">
      <formula>0.35</formula>
    </cfRule>
  </conditionalFormatting>
  <conditionalFormatting sqref="C7">
    <cfRule type="cellIs" dxfId="5" priority="2" stopIfTrue="1" operator="greaterThan">
      <formula>0.35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88"/>
    <col customWidth="1" min="2" max="2" width="31.38"/>
    <col customWidth="1" min="3" max="5" width="18.88"/>
    <col customWidth="1" min="6" max="6" width="15.13"/>
  </cols>
  <sheetData>
    <row r="2">
      <c r="B2" s="1" t="s">
        <v>8</v>
      </c>
    </row>
    <row r="4"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</row>
    <row r="5">
      <c r="B5" s="5" t="s">
        <v>14</v>
      </c>
      <c r="C5" s="6">
        <v>25000.0</v>
      </c>
      <c r="D5" s="6">
        <v>7100.0</v>
      </c>
      <c r="E5" s="8">
        <f t="shared" ref="E5:E32" si="1">C5-D5</f>
        <v>17900</v>
      </c>
      <c r="F5" s="9">
        <f t="shared" ref="F5:F32" si="2">IFERROR(E5/C5, 0)</f>
        <v>0.716</v>
      </c>
    </row>
    <row r="6">
      <c r="B6" s="5" t="s">
        <v>16</v>
      </c>
      <c r="C6" s="6">
        <v>30000.0</v>
      </c>
      <c r="D6" s="6">
        <v>15543.0</v>
      </c>
      <c r="E6" s="8">
        <f t="shared" si="1"/>
        <v>14457</v>
      </c>
      <c r="F6" s="9">
        <f t="shared" si="2"/>
        <v>0.4819</v>
      </c>
    </row>
    <row r="7">
      <c r="B7" s="5" t="s">
        <v>18</v>
      </c>
      <c r="C7" s="6">
        <v>25000.0</v>
      </c>
      <c r="D7" s="6">
        <v>7650.0</v>
      </c>
      <c r="E7" s="8">
        <f t="shared" si="1"/>
        <v>17350</v>
      </c>
      <c r="F7" s="9">
        <f t="shared" si="2"/>
        <v>0.694</v>
      </c>
    </row>
    <row r="8">
      <c r="B8" s="5" t="s">
        <v>20</v>
      </c>
      <c r="C8" s="6">
        <v>25000.0</v>
      </c>
      <c r="D8" s="6">
        <v>7920.0</v>
      </c>
      <c r="E8" s="8">
        <f t="shared" si="1"/>
        <v>17080</v>
      </c>
      <c r="F8" s="9">
        <f t="shared" si="2"/>
        <v>0.6832</v>
      </c>
    </row>
    <row r="9">
      <c r="B9" s="5" t="s">
        <v>21</v>
      </c>
      <c r="C9" s="6">
        <v>25000.0</v>
      </c>
      <c r="D9" s="6">
        <v>7380.0</v>
      </c>
      <c r="E9" s="8">
        <f t="shared" si="1"/>
        <v>17620</v>
      </c>
      <c r="F9" s="9">
        <f t="shared" si="2"/>
        <v>0.7048</v>
      </c>
    </row>
    <row r="10">
      <c r="B10" s="5" t="s">
        <v>24</v>
      </c>
      <c r="C10" s="6">
        <v>19000.0</v>
      </c>
      <c r="D10" s="6">
        <v>3659.0</v>
      </c>
      <c r="E10" s="8">
        <f t="shared" si="1"/>
        <v>15341</v>
      </c>
      <c r="F10" s="9">
        <f t="shared" si="2"/>
        <v>0.8074210526</v>
      </c>
    </row>
    <row r="11">
      <c r="B11" s="5" t="s">
        <v>25</v>
      </c>
      <c r="C11" s="6">
        <v>18000.0</v>
      </c>
      <c r="D11" s="6">
        <v>5200.0</v>
      </c>
      <c r="E11" s="8">
        <f t="shared" si="1"/>
        <v>12800</v>
      </c>
      <c r="F11" s="9">
        <f t="shared" si="2"/>
        <v>0.7111111111</v>
      </c>
    </row>
    <row r="12">
      <c r="B12" s="5" t="s">
        <v>26</v>
      </c>
      <c r="C12" s="6">
        <v>25000.0</v>
      </c>
      <c r="D12" s="6">
        <v>7650.0</v>
      </c>
      <c r="E12" s="8">
        <f t="shared" si="1"/>
        <v>17350</v>
      </c>
      <c r="F12" s="9">
        <f t="shared" si="2"/>
        <v>0.694</v>
      </c>
    </row>
    <row r="13">
      <c r="B13" s="5" t="s">
        <v>28</v>
      </c>
      <c r="C13" s="6">
        <v>25000.0</v>
      </c>
      <c r="D13" s="6">
        <v>7100.0</v>
      </c>
      <c r="E13" s="8">
        <f t="shared" si="1"/>
        <v>17900</v>
      </c>
      <c r="F13" s="9">
        <f t="shared" si="2"/>
        <v>0.716</v>
      </c>
    </row>
    <row r="14">
      <c r="B14" s="5" t="s">
        <v>30</v>
      </c>
      <c r="C14" s="6">
        <v>15000.0</v>
      </c>
      <c r="D14" s="6">
        <v>270.0</v>
      </c>
      <c r="E14" s="8">
        <f t="shared" si="1"/>
        <v>14730</v>
      </c>
      <c r="F14" s="9">
        <f t="shared" si="2"/>
        <v>0.982</v>
      </c>
    </row>
    <row r="15">
      <c r="B15" s="5" t="s">
        <v>32</v>
      </c>
      <c r="C15" s="6">
        <v>17500.0</v>
      </c>
      <c r="D15" s="6">
        <v>3300.0</v>
      </c>
      <c r="E15" s="8">
        <f t="shared" si="1"/>
        <v>14200</v>
      </c>
      <c r="F15" s="9">
        <f t="shared" si="2"/>
        <v>0.8114285714</v>
      </c>
    </row>
    <row r="16">
      <c r="B16" s="5" t="s">
        <v>34</v>
      </c>
      <c r="C16" s="6">
        <v>13500.0</v>
      </c>
      <c r="D16" s="6">
        <v>350.0</v>
      </c>
      <c r="E16" s="8">
        <f t="shared" si="1"/>
        <v>13150</v>
      </c>
      <c r="F16" s="9">
        <f t="shared" si="2"/>
        <v>0.9740740741</v>
      </c>
    </row>
    <row r="17">
      <c r="B17" s="5" t="s">
        <v>37</v>
      </c>
      <c r="C17" s="6">
        <v>25000.0</v>
      </c>
      <c r="D17" s="6">
        <v>7100.0</v>
      </c>
      <c r="E17" s="8">
        <f t="shared" si="1"/>
        <v>17900</v>
      </c>
      <c r="F17" s="9">
        <f t="shared" si="2"/>
        <v>0.716</v>
      </c>
    </row>
    <row r="18">
      <c r="B18" s="5" t="s">
        <v>39</v>
      </c>
      <c r="C18" s="6">
        <v>8000.0</v>
      </c>
      <c r="D18" s="6">
        <v>2500.0</v>
      </c>
      <c r="E18" s="8">
        <f t="shared" si="1"/>
        <v>5500</v>
      </c>
      <c r="F18" s="9">
        <f t="shared" si="2"/>
        <v>0.6875</v>
      </c>
    </row>
    <row r="19">
      <c r="B19" s="5" t="s">
        <v>43</v>
      </c>
      <c r="C19" s="6">
        <v>9000.0</v>
      </c>
      <c r="D19" s="6">
        <v>2339.0</v>
      </c>
      <c r="E19" s="8">
        <f t="shared" si="1"/>
        <v>6661</v>
      </c>
      <c r="F19" s="9">
        <f t="shared" si="2"/>
        <v>0.7401111111</v>
      </c>
    </row>
    <row r="20">
      <c r="B20" s="5" t="s">
        <v>46</v>
      </c>
      <c r="C20" s="6">
        <v>13000.0</v>
      </c>
      <c r="D20" s="6">
        <v>1900.0</v>
      </c>
      <c r="E20" s="8">
        <f t="shared" si="1"/>
        <v>11100</v>
      </c>
      <c r="F20" s="9">
        <f t="shared" si="2"/>
        <v>0.8538461538</v>
      </c>
    </row>
    <row r="21">
      <c r="B21" s="5" t="s">
        <v>49</v>
      </c>
      <c r="C21" s="6">
        <v>22000.0</v>
      </c>
      <c r="D21" s="6">
        <v>4480.0</v>
      </c>
      <c r="E21" s="8">
        <f t="shared" si="1"/>
        <v>17520</v>
      </c>
      <c r="F21" s="9">
        <f t="shared" si="2"/>
        <v>0.7963636364</v>
      </c>
    </row>
    <row r="22">
      <c r="B22" s="5" t="s">
        <v>52</v>
      </c>
      <c r="C22" s="6">
        <v>21000.0</v>
      </c>
      <c r="D22" s="6">
        <v>9000.0</v>
      </c>
      <c r="E22" s="8">
        <f t="shared" si="1"/>
        <v>12000</v>
      </c>
      <c r="F22" s="9">
        <f t="shared" si="2"/>
        <v>0.5714285714</v>
      </c>
    </row>
    <row r="23">
      <c r="B23" s="5" t="s">
        <v>55</v>
      </c>
      <c r="C23" s="6">
        <v>21000.0</v>
      </c>
      <c r="D23" s="6">
        <v>10250.0</v>
      </c>
      <c r="E23" s="8">
        <f t="shared" si="1"/>
        <v>10750</v>
      </c>
      <c r="F23" s="9">
        <f t="shared" si="2"/>
        <v>0.5119047619</v>
      </c>
    </row>
    <row r="24">
      <c r="B24" s="5" t="s">
        <v>58</v>
      </c>
      <c r="C24" s="6">
        <v>28000.0</v>
      </c>
      <c r="D24" s="6">
        <v>9755.0</v>
      </c>
      <c r="E24" s="8">
        <f t="shared" si="1"/>
        <v>18245</v>
      </c>
      <c r="F24" s="9">
        <f t="shared" si="2"/>
        <v>0.6516071429</v>
      </c>
    </row>
    <row r="25">
      <c r="B25" s="5" t="s">
        <v>59</v>
      </c>
      <c r="C25" s="6">
        <v>24000.0</v>
      </c>
      <c r="D25" s="6">
        <v>11000.0</v>
      </c>
      <c r="E25" s="8">
        <f t="shared" si="1"/>
        <v>13000</v>
      </c>
      <c r="F25" s="9">
        <f t="shared" si="2"/>
        <v>0.5416666667</v>
      </c>
    </row>
    <row r="26">
      <c r="B26" s="5" t="s">
        <v>62</v>
      </c>
      <c r="C26" s="6">
        <v>13000.0</v>
      </c>
      <c r="D26" s="6">
        <v>2873.0</v>
      </c>
      <c r="E26" s="8">
        <f t="shared" si="1"/>
        <v>10127</v>
      </c>
      <c r="F26" s="9">
        <f t="shared" si="2"/>
        <v>0.779</v>
      </c>
    </row>
    <row r="27">
      <c r="B27" s="5" t="s">
        <v>64</v>
      </c>
      <c r="C27" s="6">
        <v>13000.0</v>
      </c>
      <c r="D27" s="6">
        <v>2873.0</v>
      </c>
      <c r="E27" s="8">
        <f t="shared" si="1"/>
        <v>10127</v>
      </c>
      <c r="F27" s="9">
        <f t="shared" si="2"/>
        <v>0.779</v>
      </c>
    </row>
    <row r="28">
      <c r="B28" s="5" t="s">
        <v>65</v>
      </c>
      <c r="C28" s="6">
        <v>48000.0</v>
      </c>
      <c r="D28" s="6">
        <v>9760.0</v>
      </c>
      <c r="E28" s="8">
        <f t="shared" si="1"/>
        <v>38240</v>
      </c>
      <c r="F28" s="9">
        <f t="shared" si="2"/>
        <v>0.7966666667</v>
      </c>
    </row>
    <row r="29">
      <c r="B29" s="5" t="s">
        <v>67</v>
      </c>
      <c r="C29" s="6">
        <v>68000.0</v>
      </c>
      <c r="D29" s="6">
        <v>36960.0</v>
      </c>
      <c r="E29" s="8">
        <f t="shared" si="1"/>
        <v>31040</v>
      </c>
      <c r="F29" s="9">
        <f t="shared" si="2"/>
        <v>0.4564705882</v>
      </c>
    </row>
    <row r="30">
      <c r="B30" s="5" t="s">
        <v>69</v>
      </c>
      <c r="C30" s="6">
        <v>88000.0</v>
      </c>
      <c r="D30" s="6">
        <v>54160.0</v>
      </c>
      <c r="E30" s="8">
        <f t="shared" si="1"/>
        <v>33840</v>
      </c>
      <c r="F30" s="9">
        <f t="shared" si="2"/>
        <v>0.3845454545</v>
      </c>
    </row>
    <row r="31">
      <c r="B31" s="5" t="s">
        <v>71</v>
      </c>
      <c r="C31" s="6">
        <v>21000.0</v>
      </c>
      <c r="D31" s="6">
        <v>5350.0</v>
      </c>
      <c r="E31" s="8">
        <f t="shared" si="1"/>
        <v>15650</v>
      </c>
      <c r="F31" s="9">
        <f t="shared" si="2"/>
        <v>0.7452380952</v>
      </c>
    </row>
    <row r="32">
      <c r="B32" s="5" t="s">
        <v>73</v>
      </c>
      <c r="C32" s="6">
        <v>15000.0</v>
      </c>
      <c r="D32" s="6">
        <v>3200.0</v>
      </c>
      <c r="E32" s="8">
        <f t="shared" si="1"/>
        <v>11800</v>
      </c>
      <c r="F32" s="9">
        <f t="shared" si="2"/>
        <v>0.7866666667</v>
      </c>
    </row>
    <row r="33">
      <c r="B33" s="5" t="s">
        <v>76</v>
      </c>
      <c r="C33" s="20">
        <v>35000.0</v>
      </c>
      <c r="D33" s="20">
        <v>12500.0</v>
      </c>
      <c r="E33" s="24">
        <f t="shared" ref="E33:E50" si="3">IF(B33="","", C33-D33)</f>
        <v>22500</v>
      </c>
      <c r="F33" s="32">
        <f t="shared" ref="F33:F50" si="4">IF(B33="","", IF(C33=0, 0, E33/C33))</f>
        <v>0.6428571429</v>
      </c>
    </row>
    <row r="34">
      <c r="B34" s="5" t="s">
        <v>89</v>
      </c>
      <c r="C34" s="20">
        <v>38000.0</v>
      </c>
      <c r="D34" s="20">
        <v>15000.0</v>
      </c>
      <c r="E34" s="24">
        <f t="shared" si="3"/>
        <v>23000</v>
      </c>
      <c r="F34" s="32">
        <f t="shared" si="4"/>
        <v>0.6052631579</v>
      </c>
    </row>
    <row r="35">
      <c r="B35" s="5" t="s">
        <v>92</v>
      </c>
      <c r="C35" s="20">
        <v>29000.0</v>
      </c>
      <c r="D35" s="20">
        <v>5200.0</v>
      </c>
      <c r="E35" s="24">
        <f t="shared" si="3"/>
        <v>23800</v>
      </c>
      <c r="F35" s="32">
        <f t="shared" si="4"/>
        <v>0.8206896552</v>
      </c>
    </row>
    <row r="36">
      <c r="B36" s="5" t="s">
        <v>94</v>
      </c>
      <c r="C36" s="20">
        <v>26000.0</v>
      </c>
      <c r="D36" s="20">
        <v>2800.0</v>
      </c>
      <c r="E36" s="24">
        <f t="shared" si="3"/>
        <v>23200</v>
      </c>
      <c r="F36" s="32">
        <f t="shared" si="4"/>
        <v>0.8923076923</v>
      </c>
    </row>
    <row r="37">
      <c r="B37" s="5" t="s">
        <v>96</v>
      </c>
      <c r="C37" s="20">
        <v>26000.0</v>
      </c>
      <c r="D37" s="20">
        <v>2800.0</v>
      </c>
      <c r="E37" s="24">
        <f t="shared" si="3"/>
        <v>23200</v>
      </c>
      <c r="F37" s="32">
        <f t="shared" si="4"/>
        <v>0.8923076923</v>
      </c>
    </row>
    <row r="38">
      <c r="B38" s="5" t="s">
        <v>98</v>
      </c>
      <c r="C38" s="20">
        <v>26000.0</v>
      </c>
      <c r="D38" s="20">
        <v>2800.0</v>
      </c>
      <c r="E38" s="24">
        <f t="shared" si="3"/>
        <v>23200</v>
      </c>
      <c r="F38" s="32">
        <f t="shared" si="4"/>
        <v>0.8923076923</v>
      </c>
    </row>
    <row r="39">
      <c r="B39" s="5" t="s">
        <v>101</v>
      </c>
      <c r="C39" s="20">
        <v>26000.0</v>
      </c>
      <c r="D39" s="20">
        <v>2800.0</v>
      </c>
      <c r="E39" s="24">
        <f t="shared" si="3"/>
        <v>23200</v>
      </c>
      <c r="F39" s="32">
        <f t="shared" si="4"/>
        <v>0.8923076923</v>
      </c>
    </row>
    <row r="40">
      <c r="B40" s="5" t="s">
        <v>105</v>
      </c>
      <c r="C40" s="20">
        <v>29000.0</v>
      </c>
      <c r="D40" s="20">
        <v>4790.0</v>
      </c>
      <c r="E40" s="24">
        <f t="shared" si="3"/>
        <v>24210</v>
      </c>
      <c r="F40" s="32">
        <f t="shared" si="4"/>
        <v>0.8348275862</v>
      </c>
    </row>
    <row r="41">
      <c r="B41" s="5" t="s">
        <v>108</v>
      </c>
      <c r="C41" s="20">
        <v>33000.0</v>
      </c>
      <c r="D41" s="20">
        <v>7335.0</v>
      </c>
      <c r="E41" s="24">
        <f t="shared" si="3"/>
        <v>25665</v>
      </c>
      <c r="F41" s="32">
        <f t="shared" si="4"/>
        <v>0.7777272727</v>
      </c>
    </row>
    <row r="42">
      <c r="B42" s="5" t="s">
        <v>111</v>
      </c>
      <c r="C42" s="20">
        <v>25000.0</v>
      </c>
      <c r="D42" s="20">
        <v>7650.0</v>
      </c>
      <c r="E42" s="24">
        <f t="shared" si="3"/>
        <v>17350</v>
      </c>
      <c r="F42" s="32">
        <f t="shared" si="4"/>
        <v>0.694</v>
      </c>
    </row>
    <row r="43">
      <c r="B43" s="5" t="s">
        <v>113</v>
      </c>
      <c r="C43" s="20">
        <v>22000.0</v>
      </c>
      <c r="D43" s="20">
        <v>5000.0</v>
      </c>
      <c r="E43" s="24">
        <f t="shared" si="3"/>
        <v>17000</v>
      </c>
      <c r="F43" s="32">
        <f t="shared" si="4"/>
        <v>0.7727272727</v>
      </c>
    </row>
    <row r="44">
      <c r="B44" s="5" t="s">
        <v>118</v>
      </c>
      <c r="C44" s="20">
        <v>99000.0</v>
      </c>
      <c r="D44" s="20">
        <v>54160.0</v>
      </c>
      <c r="E44" s="24">
        <f t="shared" si="3"/>
        <v>44840</v>
      </c>
      <c r="F44" s="32">
        <f t="shared" si="4"/>
        <v>0.4529292929</v>
      </c>
    </row>
    <row r="45">
      <c r="B45" s="5" t="s">
        <v>122</v>
      </c>
      <c r="C45" s="20">
        <v>13000.0</v>
      </c>
      <c r="D45" s="20">
        <v>2873.0</v>
      </c>
      <c r="E45" s="24">
        <f t="shared" si="3"/>
        <v>10127</v>
      </c>
      <c r="F45" s="32">
        <f t="shared" si="4"/>
        <v>0.779</v>
      </c>
    </row>
    <row r="46">
      <c r="B46" s="5" t="s">
        <v>124</v>
      </c>
      <c r="C46" s="20">
        <v>10000.0</v>
      </c>
      <c r="D46" s="20">
        <v>2700.0</v>
      </c>
      <c r="E46" s="24">
        <f t="shared" si="3"/>
        <v>7300</v>
      </c>
      <c r="F46" s="32">
        <f t="shared" si="4"/>
        <v>0.73</v>
      </c>
    </row>
    <row r="47">
      <c r="B47" s="56"/>
      <c r="C47" s="24"/>
      <c r="D47" s="24"/>
      <c r="E47" s="24" t="str">
        <f t="shared" si="3"/>
        <v/>
      </c>
      <c r="F47" s="32" t="str">
        <f t="shared" si="4"/>
        <v/>
      </c>
    </row>
    <row r="48">
      <c r="B48" s="56"/>
      <c r="C48" s="24"/>
      <c r="D48" s="24"/>
      <c r="E48" s="24" t="str">
        <f t="shared" si="3"/>
        <v/>
      </c>
      <c r="F48" s="32" t="str">
        <f t="shared" si="4"/>
        <v/>
      </c>
    </row>
    <row r="49">
      <c r="B49" s="56"/>
      <c r="C49" s="24"/>
      <c r="D49" s="24"/>
      <c r="E49" s="24" t="str">
        <f t="shared" si="3"/>
        <v/>
      </c>
      <c r="F49" s="32" t="str">
        <f t="shared" si="4"/>
        <v/>
      </c>
    </row>
    <row r="50">
      <c r="B50" s="56"/>
      <c r="C50" s="24"/>
      <c r="D50" s="24"/>
      <c r="E50" s="24" t="str">
        <f t="shared" si="3"/>
        <v/>
      </c>
      <c r="F50" s="32" t="str">
        <f t="shared" si="4"/>
        <v/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3.88"/>
    <col customWidth="1" min="2" max="2" width="15.13"/>
    <col customWidth="1" min="3" max="3" width="18.88"/>
    <col customWidth="1" min="4" max="4" width="31.38"/>
    <col customWidth="1" min="5" max="6" width="18.88"/>
    <col customWidth="1" min="7" max="7" width="10.75"/>
    <col customWidth="1" min="8" max="8" width="14.13"/>
    <col customWidth="1" min="9" max="9" width="10.63"/>
    <col customWidth="1" min="10" max="10" width="10.13"/>
    <col customWidth="1" min="11" max="11" width="8.63"/>
  </cols>
  <sheetData>
    <row r="2">
      <c r="B2" s="1" t="s">
        <v>0</v>
      </c>
    </row>
    <row r="3">
      <c r="G3" s="2" t="s">
        <v>1</v>
      </c>
      <c r="H3" s="2" t="s">
        <v>2</v>
      </c>
    </row>
    <row r="4"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7" t="s">
        <v>15</v>
      </c>
      <c r="H4" s="10">
        <f>IF(G4="", SUM(E5:E3000), SUMIF(C5:C3000, G4, E5:E3000))</f>
        <v>4860000</v>
      </c>
    </row>
    <row r="5">
      <c r="B5" s="11">
        <v>46272.0</v>
      </c>
      <c r="C5" s="12" t="s">
        <v>15</v>
      </c>
      <c r="D5" s="12" t="s">
        <v>17</v>
      </c>
      <c r="E5" s="13">
        <v>3400000.0</v>
      </c>
    </row>
    <row r="6">
      <c r="B6" s="14">
        <v>46272.0</v>
      </c>
      <c r="C6" s="15" t="s">
        <v>15</v>
      </c>
      <c r="D6" s="15" t="s">
        <v>19</v>
      </c>
      <c r="E6" s="16">
        <v>400000.0</v>
      </c>
      <c r="G6" s="2" t="s">
        <v>3</v>
      </c>
      <c r="H6" s="2" t="s">
        <v>4</v>
      </c>
      <c r="I6" s="2" t="s">
        <v>5</v>
      </c>
      <c r="J6" s="2" t="s">
        <v>6</v>
      </c>
      <c r="K6" s="2" t="s">
        <v>7</v>
      </c>
    </row>
    <row r="7">
      <c r="B7" s="11">
        <v>46266.0</v>
      </c>
      <c r="C7" s="12" t="s">
        <v>22</v>
      </c>
      <c r="D7" s="12" t="s">
        <v>23</v>
      </c>
      <c r="E7" s="13">
        <v>5000.0</v>
      </c>
      <c r="G7" s="17">
        <f>IFERROR(__xludf.DUMMYFUNCTION("IFNA(FILTER(B5:F3000, C5:C3000=G4), ""Tidak ada data"")"),46272.0)</f>
        <v>46272</v>
      </c>
      <c r="H7" s="18" t="str">
        <f>IFERROR(__xludf.DUMMYFUNCTION("""COMPUTED_VALUE"""),"Gaji")</f>
        <v>Gaji</v>
      </c>
      <c r="I7" s="18" t="str">
        <f>IFERROR(__xludf.DUMMYFUNCTION("""COMPUTED_VALUE"""),"Gala, Randy, Adi, Anto")</f>
        <v>Gala, Randy, Adi, Anto</v>
      </c>
      <c r="J7" s="10">
        <f>IFERROR(__xludf.DUMMYFUNCTION("""COMPUTED_VALUE"""),3400000.0)</f>
        <v>3400000</v>
      </c>
      <c r="K7" s="18"/>
    </row>
    <row r="8">
      <c r="B8" s="14">
        <v>46266.0</v>
      </c>
      <c r="C8" s="15" t="s">
        <v>27</v>
      </c>
      <c r="D8" s="15" t="s">
        <v>29</v>
      </c>
      <c r="E8" s="16">
        <v>39000.0</v>
      </c>
      <c r="G8" s="17">
        <f>IFERROR(__xludf.DUMMYFUNCTION("""COMPUTED_VALUE"""),46272.0)</f>
        <v>46272</v>
      </c>
      <c r="H8" s="18" t="str">
        <f>IFERROR(__xludf.DUMMYFUNCTION("""COMPUTED_VALUE"""),"Gaji")</f>
        <v>Gaji</v>
      </c>
      <c r="I8" s="18" t="str">
        <f>IFERROR(__xludf.DUMMYFUNCTION("""COMPUTED_VALUE"""),"Habib")</f>
        <v>Habib</v>
      </c>
      <c r="J8" s="10">
        <f>IFERROR(__xludf.DUMMYFUNCTION("""COMPUTED_VALUE"""),400000.0)</f>
        <v>400000</v>
      </c>
      <c r="K8" s="18"/>
    </row>
    <row r="9">
      <c r="B9" s="11">
        <v>46266.0</v>
      </c>
      <c r="C9" s="12" t="s">
        <v>22</v>
      </c>
      <c r="D9" s="12" t="s">
        <v>31</v>
      </c>
      <c r="E9" s="13">
        <v>41000.0</v>
      </c>
      <c r="G9" s="17">
        <f>IFERROR(__xludf.DUMMYFUNCTION("""COMPUTED_VALUE"""),46273.0)</f>
        <v>46273</v>
      </c>
      <c r="H9" s="18" t="str">
        <f>IFERROR(__xludf.DUMMYFUNCTION("""COMPUTED_VALUE"""),"Gaji")</f>
        <v>Gaji</v>
      </c>
      <c r="I9" s="18" t="str">
        <f>IFERROR(__xludf.DUMMYFUNCTION("""COMPUTED_VALUE"""),"Mas riyan")</f>
        <v>Mas riyan</v>
      </c>
      <c r="J9" s="10">
        <f>IFERROR(__xludf.DUMMYFUNCTION("""COMPUTED_VALUE"""),1060000.0)</f>
        <v>1060000</v>
      </c>
      <c r="K9" s="18"/>
    </row>
    <row r="10">
      <c r="B10" s="14">
        <v>46266.0</v>
      </c>
      <c r="C10" s="15" t="s">
        <v>22</v>
      </c>
      <c r="D10" s="15" t="s">
        <v>33</v>
      </c>
      <c r="E10" s="16">
        <v>60000.0</v>
      </c>
      <c r="G10" s="17"/>
      <c r="J10" s="10"/>
    </row>
    <row r="11">
      <c r="B11" s="11">
        <v>46266.0</v>
      </c>
      <c r="C11" s="12" t="s">
        <v>22</v>
      </c>
      <c r="D11" s="12" t="s">
        <v>35</v>
      </c>
      <c r="E11" s="13">
        <v>89000.0</v>
      </c>
      <c r="G11" s="17"/>
      <c r="J11" s="10"/>
    </row>
    <row r="12">
      <c r="B12" s="14">
        <v>46266.0</v>
      </c>
      <c r="C12" s="15" t="s">
        <v>22</v>
      </c>
      <c r="D12" s="15" t="s">
        <v>36</v>
      </c>
      <c r="E12" s="16">
        <v>553000.0</v>
      </c>
      <c r="G12" s="17"/>
      <c r="J12" s="10"/>
    </row>
    <row r="13">
      <c r="B13" s="11">
        <v>46266.0</v>
      </c>
      <c r="C13" s="12" t="s">
        <v>27</v>
      </c>
      <c r="D13" s="12" t="s">
        <v>38</v>
      </c>
      <c r="E13" s="13">
        <v>100000.0</v>
      </c>
      <c r="G13" s="17"/>
      <c r="J13" s="10"/>
    </row>
    <row r="14">
      <c r="B14" s="14">
        <v>46267.0</v>
      </c>
      <c r="C14" s="15" t="s">
        <v>27</v>
      </c>
      <c r="D14" s="15" t="s">
        <v>38</v>
      </c>
      <c r="E14" s="16">
        <v>102000.0</v>
      </c>
      <c r="G14" s="17"/>
      <c r="J14" s="10"/>
    </row>
    <row r="15">
      <c r="B15" s="11">
        <v>46267.0</v>
      </c>
      <c r="C15" s="12" t="s">
        <v>40</v>
      </c>
      <c r="D15" s="12" t="s">
        <v>41</v>
      </c>
      <c r="E15" s="13">
        <v>96000.0</v>
      </c>
      <c r="G15" s="17"/>
      <c r="J15" s="10"/>
    </row>
    <row r="16">
      <c r="B16" s="14">
        <v>46267.0</v>
      </c>
      <c r="C16" s="15" t="s">
        <v>22</v>
      </c>
      <c r="D16" s="15" t="s">
        <v>42</v>
      </c>
      <c r="E16" s="16">
        <v>20500.0</v>
      </c>
      <c r="G16" s="19"/>
      <c r="J16" s="10"/>
    </row>
    <row r="17">
      <c r="B17" s="11">
        <v>46267.0</v>
      </c>
      <c r="C17" s="12" t="s">
        <v>22</v>
      </c>
      <c r="D17" s="12" t="s">
        <v>44</v>
      </c>
      <c r="E17" s="13">
        <v>10500.0</v>
      </c>
      <c r="G17" s="17"/>
      <c r="J17" s="10"/>
    </row>
    <row r="18">
      <c r="B18" s="14">
        <v>46267.0</v>
      </c>
      <c r="C18" s="15" t="s">
        <v>40</v>
      </c>
      <c r="D18" s="15" t="s">
        <v>45</v>
      </c>
      <c r="E18" s="16">
        <v>200000.0</v>
      </c>
      <c r="G18" s="17"/>
      <c r="J18" s="10"/>
    </row>
    <row r="19">
      <c r="B19" s="11">
        <v>46267.0</v>
      </c>
      <c r="C19" s="12" t="s">
        <v>22</v>
      </c>
      <c r="D19" s="12" t="s">
        <v>31</v>
      </c>
      <c r="E19" s="13">
        <v>41000.0</v>
      </c>
      <c r="G19" s="17"/>
      <c r="J19" s="10"/>
    </row>
    <row r="20">
      <c r="B20" s="14">
        <v>46268.0</v>
      </c>
      <c r="C20" s="15" t="s">
        <v>47</v>
      </c>
      <c r="D20" s="15" t="s">
        <v>48</v>
      </c>
      <c r="E20" s="16">
        <v>600000.0</v>
      </c>
      <c r="G20" s="17"/>
      <c r="J20" s="10"/>
    </row>
    <row r="21">
      <c r="B21" s="11">
        <v>46268.0</v>
      </c>
      <c r="C21" s="12" t="s">
        <v>50</v>
      </c>
      <c r="D21" s="12" t="s">
        <v>51</v>
      </c>
      <c r="E21" s="13">
        <v>110000.0</v>
      </c>
      <c r="G21" s="17"/>
      <c r="J21" s="10"/>
    </row>
    <row r="22">
      <c r="B22" s="14">
        <v>46268.0</v>
      </c>
      <c r="C22" s="15" t="s">
        <v>22</v>
      </c>
      <c r="D22" s="15" t="s">
        <v>53</v>
      </c>
      <c r="E22" s="16">
        <v>63000.0</v>
      </c>
      <c r="G22" s="17"/>
      <c r="J22" s="10"/>
    </row>
    <row r="23">
      <c r="B23" s="11">
        <v>46268.0</v>
      </c>
      <c r="C23" s="12" t="s">
        <v>22</v>
      </c>
      <c r="D23" s="12" t="s">
        <v>54</v>
      </c>
      <c r="E23" s="13">
        <v>5000.0</v>
      </c>
      <c r="G23" s="17"/>
      <c r="J23" s="10"/>
    </row>
    <row r="24">
      <c r="B24" s="14">
        <v>46268.0</v>
      </c>
      <c r="C24" s="15" t="s">
        <v>27</v>
      </c>
      <c r="D24" s="15" t="s">
        <v>56</v>
      </c>
      <c r="E24" s="16">
        <v>22000.0</v>
      </c>
      <c r="G24" s="17"/>
      <c r="J24" s="10"/>
    </row>
    <row r="25">
      <c r="B25" s="11">
        <v>46268.0</v>
      </c>
      <c r="C25" s="12" t="s">
        <v>22</v>
      </c>
      <c r="D25" s="12" t="s">
        <v>57</v>
      </c>
      <c r="E25" s="13">
        <v>82000.0</v>
      </c>
      <c r="G25" s="17"/>
      <c r="J25" s="10"/>
    </row>
    <row r="26">
      <c r="B26" s="14">
        <v>46269.0</v>
      </c>
      <c r="C26" s="15" t="s">
        <v>22</v>
      </c>
      <c r="D26" s="15" t="s">
        <v>31</v>
      </c>
      <c r="E26" s="16">
        <v>63000.0</v>
      </c>
      <c r="G26" s="17"/>
      <c r="J26" s="10"/>
    </row>
    <row r="27">
      <c r="B27" s="11">
        <v>46269.0</v>
      </c>
      <c r="C27" s="12" t="s">
        <v>22</v>
      </c>
      <c r="D27" s="12" t="s">
        <v>60</v>
      </c>
      <c r="E27" s="13">
        <v>185000.0</v>
      </c>
      <c r="G27" s="17"/>
      <c r="J27" s="10"/>
    </row>
    <row r="28">
      <c r="B28" s="14">
        <v>46269.0</v>
      </c>
      <c r="C28" s="15" t="s">
        <v>27</v>
      </c>
      <c r="D28" s="15" t="s">
        <v>61</v>
      </c>
      <c r="E28" s="16">
        <v>52000.0</v>
      </c>
      <c r="G28" s="17"/>
      <c r="J28" s="10"/>
    </row>
    <row r="29">
      <c r="B29" s="11">
        <v>46269.0</v>
      </c>
      <c r="C29" s="12" t="s">
        <v>22</v>
      </c>
      <c r="D29" s="12" t="s">
        <v>63</v>
      </c>
      <c r="E29" s="13">
        <v>29000.0</v>
      </c>
      <c r="G29" s="17"/>
      <c r="J29" s="10"/>
    </row>
    <row r="30">
      <c r="B30" s="14">
        <v>46269.0</v>
      </c>
      <c r="C30" s="15" t="s">
        <v>22</v>
      </c>
      <c r="D30" s="15" t="s">
        <v>23</v>
      </c>
      <c r="E30" s="16">
        <v>4000.0</v>
      </c>
      <c r="G30" s="17"/>
      <c r="J30" s="10"/>
    </row>
    <row r="31">
      <c r="B31" s="11">
        <v>46269.0</v>
      </c>
      <c r="C31" s="12" t="s">
        <v>22</v>
      </c>
      <c r="D31" s="12" t="s">
        <v>66</v>
      </c>
      <c r="E31" s="13">
        <v>22000.0</v>
      </c>
      <c r="G31" s="17"/>
      <c r="J31" s="10"/>
    </row>
    <row r="32">
      <c r="B32" s="14">
        <v>46269.0</v>
      </c>
      <c r="C32" s="15" t="s">
        <v>22</v>
      </c>
      <c r="D32" s="15" t="s">
        <v>68</v>
      </c>
      <c r="E32" s="16">
        <v>13000.0</v>
      </c>
      <c r="G32" s="17"/>
      <c r="J32" s="10"/>
    </row>
    <row r="33">
      <c r="B33" s="11">
        <v>46269.0</v>
      </c>
      <c r="C33" s="12" t="s">
        <v>22</v>
      </c>
      <c r="D33" s="12" t="s">
        <v>70</v>
      </c>
      <c r="E33" s="13">
        <v>7000.0</v>
      </c>
      <c r="G33" s="17"/>
      <c r="J33" s="10"/>
    </row>
    <row r="34">
      <c r="B34" s="14">
        <v>46269.0</v>
      </c>
      <c r="C34" s="15" t="s">
        <v>22</v>
      </c>
      <c r="D34" s="15" t="s">
        <v>72</v>
      </c>
      <c r="E34" s="16">
        <v>11000.0</v>
      </c>
      <c r="G34" s="17"/>
      <c r="J34" s="10"/>
    </row>
    <row r="35">
      <c r="B35" s="11">
        <v>46269.0</v>
      </c>
      <c r="C35" s="12" t="s">
        <v>27</v>
      </c>
      <c r="D35" s="12" t="s">
        <v>38</v>
      </c>
      <c r="E35" s="13">
        <v>196000.0</v>
      </c>
      <c r="G35" s="17"/>
      <c r="J35" s="10"/>
    </row>
    <row r="36">
      <c r="B36" s="14">
        <v>46270.0</v>
      </c>
      <c r="C36" s="15" t="s">
        <v>27</v>
      </c>
      <c r="D36" s="15" t="s">
        <v>74</v>
      </c>
      <c r="E36" s="16">
        <v>23000.0</v>
      </c>
      <c r="G36" s="17"/>
      <c r="J36" s="10"/>
    </row>
    <row r="37">
      <c r="B37" s="11">
        <v>46270.0</v>
      </c>
      <c r="C37" s="12" t="s">
        <v>22</v>
      </c>
      <c r="D37" s="12" t="s">
        <v>75</v>
      </c>
      <c r="E37" s="13">
        <v>64000.0</v>
      </c>
      <c r="G37" s="17"/>
      <c r="J37" s="10"/>
    </row>
    <row r="38">
      <c r="B38" s="14">
        <v>46270.0</v>
      </c>
      <c r="C38" s="15" t="s">
        <v>22</v>
      </c>
      <c r="D38" s="15" t="s">
        <v>77</v>
      </c>
      <c r="E38" s="16">
        <v>16000.0</v>
      </c>
      <c r="G38" s="17"/>
      <c r="J38" s="10"/>
    </row>
    <row r="39">
      <c r="B39" s="11">
        <v>46270.0</v>
      </c>
      <c r="C39" s="12" t="s">
        <v>22</v>
      </c>
      <c r="D39" s="12" t="s">
        <v>79</v>
      </c>
      <c r="E39" s="13">
        <v>18000.0</v>
      </c>
      <c r="G39" s="17"/>
      <c r="J39" s="10"/>
    </row>
    <row r="40">
      <c r="B40" s="14">
        <v>46270.0</v>
      </c>
      <c r="C40" s="15" t="s">
        <v>27</v>
      </c>
      <c r="D40" s="15" t="s">
        <v>38</v>
      </c>
      <c r="E40" s="16">
        <v>202000.0</v>
      </c>
      <c r="G40" s="17"/>
      <c r="J40" s="10"/>
    </row>
    <row r="41">
      <c r="B41" s="11">
        <v>46270.0</v>
      </c>
      <c r="C41" s="12" t="s">
        <v>22</v>
      </c>
      <c r="D41" s="12" t="s">
        <v>80</v>
      </c>
      <c r="E41" s="13">
        <v>36000.0</v>
      </c>
      <c r="G41" s="17"/>
      <c r="J41" s="10"/>
    </row>
    <row r="42">
      <c r="B42" s="14">
        <v>46270.0</v>
      </c>
      <c r="C42" s="15" t="s">
        <v>22</v>
      </c>
      <c r="D42" s="15" t="s">
        <v>82</v>
      </c>
      <c r="E42" s="16">
        <v>16000.0</v>
      </c>
      <c r="G42" s="17"/>
      <c r="J42" s="10"/>
    </row>
    <row r="43">
      <c r="B43" s="11">
        <v>46270.0</v>
      </c>
      <c r="C43" s="12" t="s">
        <v>22</v>
      </c>
      <c r="D43" s="12" t="s">
        <v>31</v>
      </c>
      <c r="E43" s="13">
        <v>61500.0</v>
      </c>
      <c r="G43" s="17"/>
      <c r="J43" s="10"/>
    </row>
    <row r="44">
      <c r="B44" s="14">
        <v>46270.0</v>
      </c>
      <c r="C44" s="15" t="s">
        <v>40</v>
      </c>
      <c r="D44" s="15" t="s">
        <v>85</v>
      </c>
      <c r="E44" s="16">
        <v>34000.0</v>
      </c>
      <c r="G44" s="17"/>
      <c r="J44" s="10"/>
    </row>
    <row r="45">
      <c r="B45" s="11">
        <v>46271.0</v>
      </c>
      <c r="C45" s="12" t="s">
        <v>22</v>
      </c>
      <c r="D45" s="12" t="s">
        <v>86</v>
      </c>
      <c r="E45" s="13">
        <v>118000.0</v>
      </c>
      <c r="G45" s="17"/>
      <c r="J45" s="10"/>
    </row>
    <row r="46">
      <c r="B46" s="14">
        <v>46271.0</v>
      </c>
      <c r="C46" s="15" t="s">
        <v>22</v>
      </c>
      <c r="D46" s="15" t="s">
        <v>87</v>
      </c>
      <c r="E46" s="16">
        <v>32000.0</v>
      </c>
      <c r="G46" s="17"/>
      <c r="J46" s="10"/>
    </row>
    <row r="47">
      <c r="B47" s="11">
        <v>46271.0</v>
      </c>
      <c r="C47" s="12" t="s">
        <v>22</v>
      </c>
      <c r="D47" s="12" t="s">
        <v>88</v>
      </c>
      <c r="E47" s="13">
        <v>89000.0</v>
      </c>
      <c r="G47" s="17"/>
      <c r="J47" s="10"/>
    </row>
    <row r="48">
      <c r="B48" s="14">
        <v>46271.0</v>
      </c>
      <c r="C48" s="15" t="s">
        <v>22</v>
      </c>
      <c r="D48" s="15" t="s">
        <v>90</v>
      </c>
      <c r="E48" s="16">
        <v>139000.0</v>
      </c>
      <c r="G48" s="17"/>
      <c r="J48" s="10"/>
    </row>
    <row r="49">
      <c r="B49" s="11">
        <v>46271.0</v>
      </c>
      <c r="C49" s="12" t="s">
        <v>22</v>
      </c>
      <c r="D49" s="12" t="s">
        <v>91</v>
      </c>
      <c r="E49" s="13">
        <v>26000.0</v>
      </c>
      <c r="G49" s="17"/>
      <c r="J49" s="10"/>
    </row>
    <row r="50">
      <c r="B50" s="14">
        <v>46271.0</v>
      </c>
      <c r="C50" s="15" t="s">
        <v>22</v>
      </c>
      <c r="D50" s="15" t="s">
        <v>31</v>
      </c>
      <c r="E50" s="16">
        <v>42000.0</v>
      </c>
      <c r="G50" s="17"/>
      <c r="J50" s="10"/>
    </row>
    <row r="51">
      <c r="B51" s="11">
        <v>46272.0</v>
      </c>
      <c r="C51" s="12" t="s">
        <v>22</v>
      </c>
      <c r="D51" s="12" t="s">
        <v>93</v>
      </c>
      <c r="E51" s="13">
        <v>26000.0</v>
      </c>
      <c r="G51" s="17"/>
      <c r="J51" s="10"/>
    </row>
    <row r="52">
      <c r="B52" s="14">
        <v>46272.0</v>
      </c>
      <c r="C52" s="15" t="s">
        <v>22</v>
      </c>
      <c r="D52" s="15" t="s">
        <v>23</v>
      </c>
      <c r="E52" s="16">
        <v>9000.0</v>
      </c>
      <c r="G52" s="17"/>
      <c r="J52" s="10"/>
    </row>
    <row r="53">
      <c r="B53" s="11">
        <v>46272.0</v>
      </c>
      <c r="C53" s="12" t="s">
        <v>22</v>
      </c>
      <c r="D53" s="12" t="s">
        <v>68</v>
      </c>
      <c r="E53" s="13">
        <v>48000.0</v>
      </c>
      <c r="G53" s="17"/>
      <c r="J53" s="10"/>
    </row>
    <row r="54">
      <c r="B54" s="14">
        <v>46272.0</v>
      </c>
      <c r="C54" s="15" t="s">
        <v>22</v>
      </c>
      <c r="D54" s="15" t="s">
        <v>95</v>
      </c>
      <c r="E54" s="16">
        <v>10000.0</v>
      </c>
      <c r="G54" s="17"/>
      <c r="J54" s="10"/>
    </row>
    <row r="55">
      <c r="B55" s="11">
        <v>46272.0</v>
      </c>
      <c r="C55" s="12" t="s">
        <v>22</v>
      </c>
      <c r="D55" s="12" t="s">
        <v>70</v>
      </c>
      <c r="E55" s="13">
        <v>8000.0</v>
      </c>
      <c r="G55" s="17"/>
      <c r="J55" s="10"/>
    </row>
    <row r="56">
      <c r="B56" s="14">
        <v>46272.0</v>
      </c>
      <c r="C56" s="15" t="s">
        <v>22</v>
      </c>
      <c r="D56" s="15" t="s">
        <v>97</v>
      </c>
      <c r="E56" s="16">
        <v>10000.0</v>
      </c>
      <c r="G56" s="17"/>
      <c r="J56" s="10"/>
    </row>
    <row r="57">
      <c r="B57" s="11">
        <v>46272.0</v>
      </c>
      <c r="C57" s="12" t="s">
        <v>22</v>
      </c>
      <c r="D57" s="12" t="s">
        <v>99</v>
      </c>
      <c r="E57" s="13">
        <v>14000.0</v>
      </c>
      <c r="G57" s="17"/>
      <c r="J57" s="10"/>
    </row>
    <row r="58">
      <c r="B58" s="14">
        <v>46272.0</v>
      </c>
      <c r="C58" s="15" t="s">
        <v>22</v>
      </c>
      <c r="D58" s="15" t="s">
        <v>103</v>
      </c>
      <c r="E58" s="16">
        <v>15000.0</v>
      </c>
      <c r="G58" s="17"/>
      <c r="J58" s="10"/>
    </row>
    <row r="59">
      <c r="B59" s="11">
        <v>46272.0</v>
      </c>
      <c r="C59" s="12" t="s">
        <v>27</v>
      </c>
      <c r="D59" s="12" t="s">
        <v>107</v>
      </c>
      <c r="E59" s="13">
        <v>30000.0</v>
      </c>
      <c r="G59" s="17"/>
      <c r="J59" s="10"/>
    </row>
    <row r="60">
      <c r="B60" s="14">
        <v>46272.0</v>
      </c>
      <c r="C60" s="15" t="s">
        <v>22</v>
      </c>
      <c r="D60" s="15" t="s">
        <v>109</v>
      </c>
      <c r="E60" s="16">
        <v>10500.0</v>
      </c>
      <c r="G60" s="17"/>
      <c r="J60" s="10"/>
    </row>
    <row r="61">
      <c r="B61" s="11">
        <v>46272.0</v>
      </c>
      <c r="C61" s="12" t="s">
        <v>22</v>
      </c>
      <c r="D61" s="12" t="s">
        <v>110</v>
      </c>
      <c r="E61" s="13">
        <v>21000.0</v>
      </c>
      <c r="G61" s="17"/>
      <c r="J61" s="10"/>
    </row>
    <row r="62">
      <c r="B62" s="14">
        <v>46272.0</v>
      </c>
      <c r="C62" s="15" t="s">
        <v>22</v>
      </c>
      <c r="D62" s="15" t="s">
        <v>114</v>
      </c>
      <c r="E62" s="16">
        <v>17500.0</v>
      </c>
      <c r="G62" s="17"/>
      <c r="J62" s="10"/>
    </row>
    <row r="63">
      <c r="B63" s="11">
        <v>46272.0</v>
      </c>
      <c r="C63" s="12" t="s">
        <v>22</v>
      </c>
      <c r="D63" s="12" t="s">
        <v>117</v>
      </c>
      <c r="E63" s="13">
        <v>102000.0</v>
      </c>
      <c r="G63" s="17"/>
      <c r="J63" s="10"/>
    </row>
    <row r="64">
      <c r="B64" s="14">
        <v>46272.0</v>
      </c>
      <c r="C64" s="15" t="s">
        <v>22</v>
      </c>
      <c r="D64" s="15" t="s">
        <v>120</v>
      </c>
      <c r="E64" s="16">
        <v>22000.0</v>
      </c>
      <c r="G64" s="17"/>
      <c r="J64" s="10"/>
    </row>
    <row r="65">
      <c r="B65" s="11">
        <v>46272.0</v>
      </c>
      <c r="C65" s="12" t="s">
        <v>27</v>
      </c>
      <c r="D65" s="12" t="s">
        <v>123</v>
      </c>
      <c r="E65" s="13">
        <v>28000.0</v>
      </c>
      <c r="G65" s="17"/>
      <c r="J65" s="10"/>
    </row>
    <row r="66">
      <c r="B66" s="14">
        <v>46272.0</v>
      </c>
      <c r="C66" s="15" t="s">
        <v>22</v>
      </c>
      <c r="D66" s="15" t="s">
        <v>66</v>
      </c>
      <c r="E66" s="16">
        <v>19000.0</v>
      </c>
      <c r="G66" s="17"/>
      <c r="J66" s="10"/>
    </row>
    <row r="67">
      <c r="B67" s="11">
        <v>46272.0</v>
      </c>
      <c r="C67" s="12" t="s">
        <v>22</v>
      </c>
      <c r="D67" s="12" t="s">
        <v>54</v>
      </c>
      <c r="E67" s="13">
        <v>10000.0</v>
      </c>
      <c r="G67" s="17"/>
      <c r="J67" s="10"/>
    </row>
    <row r="68">
      <c r="B68" s="14">
        <v>46272.0</v>
      </c>
      <c r="C68" s="15" t="s">
        <v>22</v>
      </c>
      <c r="D68" s="15" t="s">
        <v>70</v>
      </c>
      <c r="E68" s="16">
        <v>7000.0</v>
      </c>
      <c r="G68" s="17"/>
      <c r="J68" s="10"/>
    </row>
    <row r="69">
      <c r="B69" s="11">
        <v>46272.0</v>
      </c>
      <c r="C69" s="12" t="s">
        <v>22</v>
      </c>
      <c r="D69" s="12" t="s">
        <v>126</v>
      </c>
      <c r="E69" s="13">
        <v>5000.0</v>
      </c>
      <c r="G69" s="17"/>
      <c r="J69" s="10"/>
    </row>
    <row r="70">
      <c r="B70" s="14">
        <v>46272.0</v>
      </c>
      <c r="C70" s="15" t="s">
        <v>22</v>
      </c>
      <c r="D70" s="15" t="s">
        <v>128</v>
      </c>
      <c r="E70" s="16">
        <v>21000.0</v>
      </c>
      <c r="G70" s="17"/>
      <c r="J70" s="10"/>
    </row>
    <row r="71">
      <c r="B71" s="11">
        <v>46272.0</v>
      </c>
      <c r="C71" s="12" t="s">
        <v>22</v>
      </c>
      <c r="D71" s="12" t="s">
        <v>53</v>
      </c>
      <c r="E71" s="13">
        <v>31500.0</v>
      </c>
      <c r="G71" s="17"/>
      <c r="J71" s="10"/>
    </row>
    <row r="72">
      <c r="B72" s="14">
        <v>46272.0</v>
      </c>
      <c r="C72" s="15" t="s">
        <v>22</v>
      </c>
      <c r="D72" s="15" t="s">
        <v>88</v>
      </c>
      <c r="E72" s="16">
        <v>89000.0</v>
      </c>
      <c r="G72" s="17"/>
      <c r="J72" s="10"/>
    </row>
    <row r="73">
      <c r="B73" s="11">
        <v>46272.0</v>
      </c>
      <c r="C73" s="12" t="s">
        <v>22</v>
      </c>
      <c r="D73" s="12" t="s">
        <v>129</v>
      </c>
      <c r="E73" s="13">
        <v>17500.0</v>
      </c>
      <c r="G73" s="17"/>
      <c r="J73" s="10"/>
    </row>
    <row r="74">
      <c r="B74" s="14">
        <v>46272.0</v>
      </c>
      <c r="C74" s="15" t="s">
        <v>27</v>
      </c>
      <c r="D74" s="15" t="s">
        <v>130</v>
      </c>
      <c r="E74" s="16">
        <v>455000.0</v>
      </c>
      <c r="G74" s="17"/>
      <c r="J74" s="10"/>
    </row>
    <row r="75">
      <c r="B75" s="11">
        <v>46272.0</v>
      </c>
      <c r="C75" s="12" t="s">
        <v>40</v>
      </c>
      <c r="D75" s="12" t="s">
        <v>131</v>
      </c>
      <c r="E75" s="13">
        <v>75000.0</v>
      </c>
      <c r="G75" s="17"/>
      <c r="J75" s="10"/>
    </row>
    <row r="76">
      <c r="B76" s="14">
        <v>46272.0</v>
      </c>
      <c r="C76" s="15" t="s">
        <v>22</v>
      </c>
      <c r="D76" s="15" t="s">
        <v>133</v>
      </c>
      <c r="E76" s="16">
        <v>60000.0</v>
      </c>
      <c r="G76" s="17"/>
      <c r="J76" s="10"/>
    </row>
    <row r="77">
      <c r="B77" s="11">
        <v>46273.0</v>
      </c>
      <c r="C77" s="12" t="s">
        <v>15</v>
      </c>
      <c r="D77" s="12" t="s">
        <v>134</v>
      </c>
      <c r="E77" s="13">
        <v>1060000.0</v>
      </c>
      <c r="G77" s="17"/>
      <c r="J77" s="10"/>
    </row>
    <row r="78">
      <c r="B78" s="14">
        <v>46273.0</v>
      </c>
      <c r="C78" s="15" t="s">
        <v>47</v>
      </c>
      <c r="D78" s="15" t="s">
        <v>47</v>
      </c>
      <c r="E78" s="16">
        <v>1016100.0</v>
      </c>
      <c r="G78" s="17"/>
      <c r="J78" s="10"/>
    </row>
    <row r="79">
      <c r="B79" s="11">
        <v>46273.0</v>
      </c>
      <c r="C79" s="12" t="s">
        <v>22</v>
      </c>
      <c r="D79" s="12" t="s">
        <v>68</v>
      </c>
      <c r="E79" s="13">
        <v>24000.0</v>
      </c>
      <c r="G79" s="17"/>
      <c r="J79" s="10"/>
    </row>
    <row r="80">
      <c r="B80" s="14">
        <v>46273.0</v>
      </c>
      <c r="C80" s="15" t="s">
        <v>22</v>
      </c>
      <c r="D80" s="15" t="s">
        <v>23</v>
      </c>
      <c r="E80" s="16">
        <v>5000.0</v>
      </c>
      <c r="G80" s="17"/>
      <c r="J80" s="10"/>
    </row>
    <row r="81">
      <c r="B81" s="11">
        <v>46273.0</v>
      </c>
      <c r="C81" s="12" t="s">
        <v>22</v>
      </c>
      <c r="D81" s="12" t="s">
        <v>31</v>
      </c>
      <c r="E81" s="13">
        <v>63000.0</v>
      </c>
      <c r="G81" s="17"/>
      <c r="J81" s="10"/>
    </row>
    <row r="82">
      <c r="B82" s="14">
        <v>46273.0</v>
      </c>
      <c r="C82" s="15" t="s">
        <v>22</v>
      </c>
      <c r="D82" s="15" t="s">
        <v>137</v>
      </c>
      <c r="E82" s="16">
        <v>25000.0</v>
      </c>
      <c r="G82" s="17"/>
      <c r="J82" s="10"/>
    </row>
    <row r="83">
      <c r="B83" s="11">
        <v>46273.0</v>
      </c>
      <c r="C83" s="12" t="s">
        <v>22</v>
      </c>
      <c r="D83" s="12" t="s">
        <v>139</v>
      </c>
      <c r="E83" s="13">
        <v>45000.0</v>
      </c>
      <c r="G83" s="17"/>
      <c r="J83" s="10"/>
    </row>
    <row r="84">
      <c r="B84" s="14">
        <v>46273.0</v>
      </c>
      <c r="C84" s="15" t="s">
        <v>22</v>
      </c>
      <c r="D84" s="15" t="s">
        <v>141</v>
      </c>
      <c r="E84" s="16">
        <v>332000.0</v>
      </c>
      <c r="G84" s="17"/>
      <c r="J84" s="10"/>
    </row>
    <row r="85">
      <c r="B85" s="11">
        <v>46274.0</v>
      </c>
      <c r="C85" s="12" t="s">
        <v>22</v>
      </c>
      <c r="D85" s="12" t="s">
        <v>142</v>
      </c>
      <c r="E85" s="13">
        <v>27000.0</v>
      </c>
      <c r="G85" s="17"/>
      <c r="J85" s="10"/>
    </row>
    <row r="86">
      <c r="B86" s="14">
        <v>46274.0</v>
      </c>
      <c r="C86" s="15" t="s">
        <v>22</v>
      </c>
      <c r="D86" s="15" t="s">
        <v>31</v>
      </c>
      <c r="E86" s="16">
        <v>82000.0</v>
      </c>
      <c r="G86" s="17"/>
      <c r="J86" s="10"/>
    </row>
    <row r="87">
      <c r="B87" s="11">
        <v>46274.0</v>
      </c>
      <c r="C87" s="12" t="s">
        <v>22</v>
      </c>
      <c r="D87" s="12" t="s">
        <v>144</v>
      </c>
      <c r="E87" s="13">
        <v>7000.0</v>
      </c>
      <c r="G87" s="17"/>
      <c r="J87" s="10"/>
    </row>
    <row r="88">
      <c r="B88" s="14">
        <v>46274.0</v>
      </c>
      <c r="C88" s="15" t="s">
        <v>22</v>
      </c>
      <c r="D88" s="15" t="s">
        <v>97</v>
      </c>
      <c r="E88" s="16">
        <v>30000.0</v>
      </c>
      <c r="G88" s="17"/>
      <c r="J88" s="10"/>
    </row>
    <row r="89">
      <c r="B89" s="11">
        <v>46274.0</v>
      </c>
      <c r="C89" s="12" t="s">
        <v>27</v>
      </c>
      <c r="D89" s="12" t="s">
        <v>38</v>
      </c>
      <c r="E89" s="13">
        <v>202000.0</v>
      </c>
      <c r="G89" s="17"/>
      <c r="J89" s="10"/>
    </row>
    <row r="90">
      <c r="B90" s="14">
        <v>46274.0</v>
      </c>
      <c r="C90" s="15" t="s">
        <v>22</v>
      </c>
      <c r="D90" s="15" t="s">
        <v>146</v>
      </c>
      <c r="E90" s="16">
        <v>250000.0</v>
      </c>
      <c r="G90" s="17"/>
      <c r="J90" s="10"/>
    </row>
    <row r="91">
      <c r="B91" s="11"/>
      <c r="C91" s="12" t="s">
        <v>22</v>
      </c>
      <c r="D91" s="12"/>
      <c r="E91" s="13"/>
      <c r="G91" s="17"/>
      <c r="J91" s="10"/>
    </row>
    <row r="92">
      <c r="B92" s="14"/>
      <c r="C92" s="15"/>
      <c r="D92" s="15"/>
      <c r="E92" s="16"/>
      <c r="G92" s="17"/>
      <c r="J92" s="10"/>
    </row>
    <row r="93">
      <c r="B93" s="11"/>
      <c r="C93" s="12"/>
      <c r="D93" s="12"/>
      <c r="E93" s="13"/>
      <c r="G93" s="17"/>
      <c r="J93" s="10"/>
    </row>
    <row r="94">
      <c r="B94" s="14"/>
      <c r="C94" s="15"/>
      <c r="D94" s="15"/>
      <c r="E94" s="16"/>
      <c r="G94" s="17"/>
      <c r="J94" s="10"/>
    </row>
    <row r="95">
      <c r="B95" s="11"/>
      <c r="C95" s="12"/>
      <c r="D95" s="12"/>
      <c r="E95" s="13"/>
      <c r="G95" s="17"/>
      <c r="J95" s="10"/>
    </row>
    <row r="96">
      <c r="B96" s="14"/>
      <c r="C96" s="15"/>
      <c r="D96" s="15"/>
      <c r="E96" s="16"/>
      <c r="G96" s="17"/>
      <c r="J96" s="10"/>
    </row>
    <row r="97">
      <c r="B97" s="11"/>
      <c r="C97" s="12"/>
      <c r="D97" s="12"/>
      <c r="E97" s="13"/>
      <c r="G97" s="17"/>
      <c r="J97" s="10"/>
    </row>
    <row r="98">
      <c r="B98" s="14"/>
      <c r="C98" s="15"/>
      <c r="D98" s="15"/>
      <c r="E98" s="16"/>
      <c r="G98" s="17"/>
      <c r="J98" s="10"/>
    </row>
    <row r="99">
      <c r="B99" s="11"/>
      <c r="C99" s="12"/>
      <c r="D99" s="12"/>
      <c r="E99" s="13"/>
      <c r="G99" s="17"/>
      <c r="J99" s="10"/>
    </row>
    <row r="100">
      <c r="B100" s="14"/>
      <c r="C100" s="15"/>
      <c r="D100" s="15"/>
      <c r="E100" s="16"/>
      <c r="G100" s="17"/>
      <c r="J100" s="10"/>
    </row>
    <row r="101">
      <c r="B101" s="11"/>
      <c r="C101" s="12"/>
      <c r="D101" s="12"/>
      <c r="E101" s="13"/>
      <c r="G101" s="17"/>
      <c r="J101" s="10"/>
    </row>
    <row r="102">
      <c r="B102" s="14"/>
      <c r="C102" s="15"/>
      <c r="D102" s="15"/>
      <c r="E102" s="16"/>
      <c r="G102" s="17"/>
      <c r="J102" s="10"/>
    </row>
    <row r="103">
      <c r="B103" s="11"/>
      <c r="C103" s="12"/>
      <c r="D103" s="12"/>
      <c r="E103" s="13"/>
      <c r="G103" s="17"/>
      <c r="J103" s="10"/>
    </row>
    <row r="104">
      <c r="B104" s="14"/>
      <c r="C104" s="15"/>
      <c r="D104" s="15"/>
      <c r="E104" s="16"/>
      <c r="G104" s="17"/>
      <c r="J104" s="10"/>
    </row>
    <row r="105">
      <c r="B105" s="84"/>
      <c r="C105" s="12"/>
      <c r="D105" s="12"/>
      <c r="E105" s="13"/>
      <c r="G105" s="17"/>
      <c r="J105" s="10"/>
    </row>
    <row r="106">
      <c r="B106" s="14"/>
      <c r="C106" s="15"/>
      <c r="D106" s="15"/>
      <c r="E106" s="16"/>
      <c r="G106" s="17"/>
      <c r="J106" s="10"/>
    </row>
    <row r="107">
      <c r="B107" s="11"/>
      <c r="C107" s="12"/>
      <c r="D107" s="12"/>
      <c r="E107" s="13"/>
      <c r="G107" s="17"/>
      <c r="J107" s="10"/>
    </row>
    <row r="108">
      <c r="B108" s="14"/>
      <c r="C108" s="15"/>
      <c r="D108" s="15"/>
      <c r="E108" s="16"/>
      <c r="G108" s="17"/>
      <c r="J108" s="10"/>
    </row>
    <row r="109">
      <c r="B109" s="11"/>
      <c r="C109" s="12"/>
      <c r="D109" s="12"/>
      <c r="E109" s="13"/>
      <c r="G109" s="17"/>
      <c r="J109" s="10"/>
    </row>
    <row r="110">
      <c r="B110" s="14"/>
      <c r="C110" s="15"/>
      <c r="D110" s="15"/>
      <c r="E110" s="16"/>
      <c r="G110" s="17"/>
      <c r="J110" s="10"/>
    </row>
    <row r="111">
      <c r="B111" s="11"/>
      <c r="C111" s="12"/>
      <c r="D111" s="12"/>
      <c r="E111" s="13"/>
      <c r="G111" s="17"/>
      <c r="J111" s="10"/>
    </row>
    <row r="112">
      <c r="B112" s="14"/>
      <c r="C112" s="15"/>
      <c r="D112" s="15"/>
      <c r="E112" s="16"/>
      <c r="G112" s="17"/>
      <c r="J112" s="10"/>
    </row>
    <row r="113">
      <c r="B113" s="11"/>
      <c r="C113" s="12"/>
      <c r="D113" s="12"/>
      <c r="E113" s="13"/>
      <c r="G113" s="17"/>
      <c r="J113" s="10"/>
    </row>
    <row r="114">
      <c r="B114" s="14"/>
      <c r="C114" s="15"/>
      <c r="D114" s="15"/>
      <c r="E114" s="16"/>
      <c r="G114" s="17"/>
      <c r="J114" s="10"/>
    </row>
    <row r="115">
      <c r="B115" s="11"/>
      <c r="C115" s="12"/>
      <c r="D115" s="12"/>
      <c r="E115" s="13"/>
      <c r="G115" s="17"/>
      <c r="J115" s="10"/>
    </row>
    <row r="116">
      <c r="B116" s="14"/>
      <c r="C116" s="15"/>
      <c r="D116" s="15"/>
      <c r="E116" s="16"/>
      <c r="G116" s="17"/>
      <c r="J116" s="10"/>
    </row>
    <row r="117">
      <c r="B117" s="11"/>
      <c r="C117" s="12"/>
      <c r="D117" s="12"/>
      <c r="E117" s="13"/>
      <c r="G117" s="17"/>
      <c r="J117" s="10"/>
    </row>
    <row r="118">
      <c r="B118" s="14"/>
      <c r="C118" s="15"/>
      <c r="D118" s="15"/>
      <c r="E118" s="16"/>
      <c r="G118" s="17"/>
      <c r="J118" s="10"/>
    </row>
    <row r="119">
      <c r="B119" s="11"/>
      <c r="C119" s="12"/>
      <c r="D119" s="12"/>
      <c r="E119" s="13"/>
      <c r="G119" s="17"/>
      <c r="J119" s="10"/>
    </row>
    <row r="120">
      <c r="B120" s="14"/>
      <c r="C120" s="15"/>
      <c r="D120" s="15"/>
      <c r="E120" s="16"/>
      <c r="G120" s="17"/>
      <c r="J120" s="10"/>
    </row>
    <row r="121">
      <c r="B121" s="11"/>
      <c r="C121" s="12"/>
      <c r="D121" s="12"/>
      <c r="E121" s="13"/>
      <c r="G121" s="17"/>
      <c r="J121" s="10"/>
    </row>
    <row r="122">
      <c r="B122" s="14"/>
      <c r="C122" s="15"/>
      <c r="D122" s="15"/>
      <c r="E122" s="16"/>
      <c r="G122" s="17"/>
      <c r="J122" s="10"/>
    </row>
    <row r="123">
      <c r="B123" s="11"/>
      <c r="C123" s="12"/>
      <c r="D123" s="12"/>
      <c r="E123" s="13"/>
      <c r="G123" s="17"/>
      <c r="J123" s="10"/>
    </row>
    <row r="124">
      <c r="B124" s="14"/>
      <c r="C124" s="15"/>
      <c r="D124" s="15"/>
      <c r="E124" s="16"/>
      <c r="G124" s="17"/>
      <c r="J124" s="10"/>
    </row>
    <row r="125">
      <c r="B125" s="11"/>
      <c r="C125" s="12"/>
      <c r="D125" s="12"/>
      <c r="E125" s="13"/>
      <c r="G125" s="17"/>
      <c r="J125" s="10"/>
    </row>
    <row r="126">
      <c r="B126" s="14"/>
      <c r="C126" s="15"/>
      <c r="D126" s="15"/>
      <c r="E126" s="16"/>
      <c r="G126" s="17"/>
      <c r="J126" s="10"/>
    </row>
    <row r="127">
      <c r="B127" s="11"/>
      <c r="C127" s="12"/>
      <c r="D127" s="12"/>
      <c r="E127" s="13"/>
      <c r="G127" s="17"/>
      <c r="J127" s="10"/>
    </row>
    <row r="128">
      <c r="B128" s="14"/>
      <c r="C128" s="15"/>
      <c r="D128" s="15"/>
      <c r="E128" s="16"/>
      <c r="G128" s="17"/>
      <c r="J128" s="10"/>
    </row>
    <row r="129">
      <c r="B129" s="11"/>
      <c r="C129" s="12"/>
      <c r="D129" s="12"/>
      <c r="E129" s="13"/>
      <c r="G129" s="17"/>
      <c r="J129" s="10"/>
    </row>
    <row r="130">
      <c r="B130" s="14"/>
      <c r="C130" s="15"/>
      <c r="D130" s="15"/>
      <c r="E130" s="16"/>
      <c r="G130" s="17"/>
      <c r="J130" s="10"/>
    </row>
    <row r="131">
      <c r="B131" s="11"/>
      <c r="C131" s="12"/>
      <c r="D131" s="12"/>
      <c r="E131" s="13"/>
      <c r="G131" s="17"/>
      <c r="J131" s="10"/>
    </row>
    <row r="132">
      <c r="B132" s="97"/>
      <c r="C132" s="15"/>
      <c r="D132" s="15"/>
      <c r="E132" s="16"/>
      <c r="G132" s="17"/>
      <c r="J132" s="10"/>
    </row>
    <row r="133">
      <c r="B133" s="11"/>
      <c r="C133" s="12"/>
      <c r="D133" s="12"/>
      <c r="E133" s="13"/>
      <c r="G133" s="17"/>
      <c r="J133" s="10"/>
    </row>
    <row r="134">
      <c r="B134" s="14"/>
      <c r="C134" s="15"/>
      <c r="D134" s="15"/>
      <c r="E134" s="16"/>
      <c r="G134" s="17"/>
      <c r="J134" s="10"/>
    </row>
    <row r="135">
      <c r="B135" s="11"/>
      <c r="C135" s="12"/>
      <c r="D135" s="12"/>
      <c r="E135" s="13"/>
      <c r="G135" s="17"/>
      <c r="J135" s="10"/>
    </row>
    <row r="136">
      <c r="B136" s="14"/>
      <c r="C136" s="15"/>
      <c r="D136" s="15"/>
      <c r="E136" s="16"/>
      <c r="G136" s="17"/>
      <c r="J136" s="10"/>
    </row>
    <row r="137">
      <c r="B137" s="11"/>
      <c r="C137" s="12"/>
      <c r="D137" s="12"/>
      <c r="E137" s="13"/>
      <c r="G137" s="17"/>
      <c r="J137" s="10"/>
    </row>
    <row r="138">
      <c r="B138" s="14"/>
      <c r="C138" s="15"/>
      <c r="D138" s="15"/>
      <c r="E138" s="16"/>
      <c r="G138" s="17"/>
      <c r="J138" s="10"/>
    </row>
    <row r="139">
      <c r="B139" s="11"/>
      <c r="C139" s="12"/>
      <c r="D139" s="12"/>
      <c r="E139" s="13"/>
      <c r="G139" s="17"/>
      <c r="J139" s="10"/>
    </row>
    <row r="140">
      <c r="B140" s="14"/>
      <c r="C140" s="15"/>
      <c r="D140" s="15"/>
      <c r="E140" s="16"/>
      <c r="G140" s="17"/>
      <c r="J140" s="10"/>
    </row>
    <row r="141">
      <c r="B141" s="11"/>
      <c r="C141" s="12"/>
      <c r="D141" s="12"/>
      <c r="E141" s="13"/>
      <c r="G141" s="17"/>
      <c r="J141" s="10"/>
    </row>
    <row r="142">
      <c r="B142" s="14"/>
      <c r="C142" s="15"/>
      <c r="D142" s="15"/>
      <c r="E142" s="16"/>
      <c r="G142" s="17"/>
      <c r="J142" s="10"/>
    </row>
    <row r="143">
      <c r="B143" s="11"/>
      <c r="C143" s="12"/>
      <c r="D143" s="12"/>
      <c r="E143" s="13"/>
      <c r="G143" s="17"/>
      <c r="J143" s="10"/>
    </row>
    <row r="144">
      <c r="B144" s="14"/>
      <c r="C144" s="15"/>
      <c r="D144" s="15"/>
      <c r="E144" s="16"/>
      <c r="G144" s="17"/>
      <c r="J144" s="10"/>
    </row>
    <row r="145">
      <c r="B145" s="11"/>
      <c r="C145" s="12"/>
      <c r="D145" s="12"/>
      <c r="E145" s="13"/>
      <c r="G145" s="17"/>
      <c r="J145" s="10"/>
    </row>
    <row r="146">
      <c r="B146" s="14"/>
      <c r="C146" s="15"/>
      <c r="D146" s="15"/>
      <c r="E146" s="16"/>
      <c r="G146" s="17"/>
      <c r="J146" s="10"/>
    </row>
    <row r="147">
      <c r="B147" s="11"/>
      <c r="C147" s="12"/>
      <c r="D147" s="12"/>
      <c r="E147" s="13"/>
      <c r="G147" s="17"/>
      <c r="J147" s="10"/>
    </row>
    <row r="148">
      <c r="B148" s="14"/>
      <c r="C148" s="15"/>
      <c r="D148" s="15"/>
      <c r="E148" s="16"/>
      <c r="G148" s="17"/>
      <c r="J148" s="10"/>
    </row>
    <row r="149">
      <c r="B149" s="11"/>
      <c r="C149" s="12"/>
      <c r="D149" s="12"/>
      <c r="E149" s="13"/>
      <c r="G149" s="17"/>
      <c r="J149" s="10"/>
    </row>
    <row r="150">
      <c r="B150" s="14"/>
      <c r="C150" s="15"/>
      <c r="D150" s="15"/>
      <c r="E150" s="16"/>
      <c r="G150" s="17"/>
      <c r="J150" s="10"/>
    </row>
    <row r="151">
      <c r="B151" s="11"/>
      <c r="C151" s="12"/>
      <c r="D151" s="12"/>
      <c r="E151" s="13"/>
      <c r="G151" s="17"/>
      <c r="J151" s="10"/>
    </row>
    <row r="152">
      <c r="B152" s="14"/>
      <c r="C152" s="15"/>
      <c r="D152" s="15"/>
      <c r="E152" s="16"/>
      <c r="G152" s="17"/>
      <c r="J152" s="10"/>
    </row>
    <row r="153">
      <c r="B153" s="11"/>
      <c r="C153" s="12"/>
      <c r="D153" s="12"/>
      <c r="E153" s="13"/>
      <c r="G153" s="17"/>
      <c r="J153" s="10"/>
    </row>
    <row r="154">
      <c r="B154" s="14"/>
      <c r="C154" s="15"/>
      <c r="D154" s="15"/>
      <c r="E154" s="16"/>
      <c r="G154" s="17"/>
      <c r="J154" s="10"/>
    </row>
    <row r="155">
      <c r="B155" s="11"/>
      <c r="C155" s="12"/>
      <c r="D155" s="12"/>
      <c r="E155" s="13"/>
      <c r="G155" s="17"/>
      <c r="J155" s="10"/>
    </row>
    <row r="156">
      <c r="B156" s="14"/>
      <c r="C156" s="15"/>
      <c r="D156" s="15"/>
      <c r="E156" s="16"/>
      <c r="G156" s="17"/>
      <c r="J156" s="10"/>
    </row>
    <row r="157">
      <c r="B157" s="11"/>
      <c r="C157" s="12"/>
      <c r="D157" s="12"/>
      <c r="E157" s="13"/>
      <c r="G157" s="17"/>
      <c r="J157" s="10"/>
    </row>
    <row r="158">
      <c r="B158" s="14"/>
      <c r="C158" s="15"/>
      <c r="D158" s="15"/>
      <c r="E158" s="16"/>
      <c r="G158" s="17"/>
      <c r="J158" s="10"/>
    </row>
    <row r="159">
      <c r="B159" s="11"/>
      <c r="C159" s="12"/>
      <c r="D159" s="12"/>
      <c r="E159" s="13"/>
      <c r="G159" s="17"/>
      <c r="J159" s="10"/>
    </row>
    <row r="160">
      <c r="B160" s="14"/>
      <c r="C160" s="15"/>
      <c r="D160" s="15"/>
      <c r="E160" s="16"/>
      <c r="G160" s="17"/>
      <c r="J160" s="10"/>
    </row>
    <row r="161">
      <c r="B161" s="11"/>
      <c r="C161" s="12"/>
      <c r="D161" s="12"/>
      <c r="E161" s="13"/>
      <c r="G161" s="17"/>
      <c r="J161" s="10"/>
    </row>
    <row r="162">
      <c r="B162" s="14"/>
      <c r="C162" s="15"/>
      <c r="D162" s="15"/>
      <c r="E162" s="16"/>
      <c r="G162" s="17"/>
      <c r="J162" s="10"/>
    </row>
    <row r="163">
      <c r="B163" s="11"/>
      <c r="C163" s="12"/>
      <c r="D163" s="12"/>
      <c r="E163" s="13"/>
      <c r="G163" s="17"/>
      <c r="J163" s="10"/>
    </row>
    <row r="164">
      <c r="B164" s="14"/>
      <c r="C164" s="15"/>
      <c r="D164" s="15"/>
      <c r="E164" s="16"/>
      <c r="G164" s="17"/>
      <c r="J164" s="10"/>
    </row>
    <row r="165">
      <c r="B165" s="11"/>
      <c r="C165" s="12"/>
      <c r="D165" s="12"/>
      <c r="E165" s="13"/>
      <c r="G165" s="17"/>
      <c r="J165" s="10"/>
    </row>
    <row r="166">
      <c r="B166" s="14"/>
      <c r="C166" s="15"/>
      <c r="D166" s="15"/>
      <c r="E166" s="16"/>
      <c r="G166" s="17"/>
      <c r="J166" s="10"/>
    </row>
    <row r="167">
      <c r="B167" s="11"/>
      <c r="C167" s="12"/>
      <c r="D167" s="12"/>
      <c r="E167" s="13"/>
      <c r="G167" s="17"/>
      <c r="J167" s="10"/>
    </row>
    <row r="168">
      <c r="B168" s="14"/>
      <c r="C168" s="15"/>
      <c r="D168" s="15"/>
      <c r="E168" s="16"/>
      <c r="G168" s="17"/>
      <c r="J168" s="10"/>
    </row>
    <row r="169">
      <c r="B169" s="11"/>
      <c r="C169" s="12"/>
      <c r="D169" s="12"/>
      <c r="E169" s="13"/>
      <c r="G169" s="17"/>
      <c r="J169" s="10"/>
    </row>
    <row r="170">
      <c r="B170" s="14"/>
      <c r="C170" s="15"/>
      <c r="D170" s="15"/>
      <c r="E170" s="16"/>
      <c r="G170" s="17"/>
      <c r="J170" s="10"/>
    </row>
    <row r="171">
      <c r="B171" s="11"/>
      <c r="C171" s="12"/>
      <c r="D171" s="12"/>
      <c r="E171" s="13"/>
      <c r="G171" s="17"/>
      <c r="J171" s="10"/>
    </row>
    <row r="172">
      <c r="B172" s="14"/>
      <c r="C172" s="15"/>
      <c r="D172" s="15"/>
      <c r="E172" s="16"/>
      <c r="G172" s="17"/>
      <c r="J172" s="10"/>
    </row>
    <row r="173">
      <c r="B173" s="11"/>
      <c r="C173" s="12"/>
      <c r="D173" s="12"/>
      <c r="E173" s="13"/>
      <c r="G173" s="17"/>
      <c r="J173" s="10"/>
    </row>
    <row r="174">
      <c r="B174" s="14"/>
      <c r="C174" s="15"/>
      <c r="D174" s="15"/>
      <c r="E174" s="16"/>
      <c r="G174" s="17"/>
      <c r="J174" s="10"/>
    </row>
    <row r="175">
      <c r="B175" s="11"/>
      <c r="C175" s="12"/>
      <c r="D175" s="12"/>
      <c r="E175" s="13"/>
      <c r="G175" s="17"/>
      <c r="J175" s="10"/>
    </row>
    <row r="176">
      <c r="B176" s="14"/>
      <c r="C176" s="15"/>
      <c r="D176" s="15"/>
      <c r="E176" s="16"/>
      <c r="G176" s="17"/>
      <c r="J176" s="10"/>
    </row>
    <row r="177">
      <c r="B177" s="11"/>
      <c r="C177" s="12"/>
      <c r="D177" s="12"/>
      <c r="E177" s="13"/>
      <c r="G177" s="17"/>
      <c r="J177" s="10"/>
    </row>
    <row r="178">
      <c r="B178" s="14"/>
      <c r="C178" s="15"/>
      <c r="D178" s="15"/>
      <c r="E178" s="16"/>
      <c r="G178" s="17"/>
      <c r="J178" s="10"/>
    </row>
    <row r="179">
      <c r="B179" s="11"/>
      <c r="C179" s="12"/>
      <c r="D179" s="12"/>
      <c r="E179" s="13"/>
      <c r="G179" s="17"/>
      <c r="J179" s="10"/>
    </row>
    <row r="180">
      <c r="B180" s="14"/>
      <c r="C180" s="15"/>
      <c r="D180" s="15"/>
      <c r="E180" s="16"/>
      <c r="G180" s="17"/>
      <c r="J180" s="10"/>
    </row>
    <row r="181">
      <c r="B181" s="11"/>
      <c r="C181" s="12"/>
      <c r="D181" s="12"/>
      <c r="E181" s="13"/>
      <c r="G181" s="17"/>
      <c r="J181" s="10"/>
    </row>
    <row r="182">
      <c r="B182" s="14"/>
      <c r="C182" s="15"/>
      <c r="D182" s="15"/>
      <c r="E182" s="16"/>
      <c r="G182" s="17"/>
      <c r="J182" s="10"/>
    </row>
    <row r="183">
      <c r="B183" s="11"/>
      <c r="C183" s="12"/>
      <c r="D183" s="12"/>
      <c r="E183" s="13"/>
      <c r="G183" s="17"/>
      <c r="J183" s="10"/>
    </row>
    <row r="184">
      <c r="B184" s="14"/>
      <c r="C184" s="15"/>
      <c r="D184" s="15"/>
      <c r="E184" s="16"/>
      <c r="G184" s="17"/>
      <c r="J184" s="10"/>
    </row>
    <row r="185">
      <c r="B185" s="11"/>
      <c r="C185" s="12"/>
      <c r="D185" s="12"/>
      <c r="E185" s="13"/>
      <c r="G185" s="17"/>
      <c r="J185" s="10"/>
    </row>
    <row r="186">
      <c r="B186" s="14"/>
      <c r="C186" s="15"/>
      <c r="D186" s="15"/>
      <c r="E186" s="16"/>
      <c r="G186" s="17"/>
      <c r="J186" s="10"/>
    </row>
    <row r="187">
      <c r="B187" s="11"/>
      <c r="C187" s="12"/>
      <c r="D187" s="12"/>
      <c r="E187" s="13"/>
      <c r="G187" s="17"/>
      <c r="J187" s="10"/>
    </row>
    <row r="188">
      <c r="B188" s="14"/>
      <c r="C188" s="15"/>
      <c r="D188" s="15"/>
      <c r="E188" s="16"/>
      <c r="G188" s="17"/>
      <c r="J188" s="10"/>
    </row>
    <row r="189">
      <c r="B189" s="11"/>
      <c r="C189" s="12"/>
      <c r="D189" s="12"/>
      <c r="E189" s="13"/>
      <c r="G189" s="17"/>
      <c r="J189" s="10"/>
    </row>
    <row r="190">
      <c r="B190" s="14"/>
      <c r="C190" s="15"/>
      <c r="D190" s="15"/>
      <c r="E190" s="16"/>
      <c r="G190" s="17"/>
      <c r="J190" s="10"/>
    </row>
    <row r="191">
      <c r="B191" s="11"/>
      <c r="C191" s="12"/>
      <c r="D191" s="12"/>
      <c r="E191" s="13"/>
      <c r="G191" s="17"/>
      <c r="J191" s="10"/>
    </row>
    <row r="192">
      <c r="B192" s="14"/>
      <c r="C192" s="15"/>
      <c r="D192" s="15"/>
      <c r="E192" s="16"/>
      <c r="G192" s="17"/>
      <c r="J192" s="10"/>
    </row>
    <row r="193">
      <c r="B193" s="11"/>
      <c r="C193" s="12"/>
      <c r="D193" s="12"/>
      <c r="E193" s="13"/>
      <c r="G193" s="17"/>
      <c r="J193" s="10"/>
    </row>
    <row r="194">
      <c r="B194" s="14"/>
      <c r="C194" s="15"/>
      <c r="D194" s="15"/>
      <c r="E194" s="16"/>
      <c r="G194" s="17"/>
      <c r="J194" s="10"/>
    </row>
    <row r="195">
      <c r="B195" s="11"/>
      <c r="C195" s="12"/>
      <c r="D195" s="12"/>
      <c r="E195" s="13"/>
      <c r="G195" s="17"/>
      <c r="J195" s="10"/>
    </row>
    <row r="196">
      <c r="B196" s="14"/>
      <c r="C196" s="15"/>
      <c r="D196" s="15"/>
      <c r="E196" s="16"/>
      <c r="G196" s="17"/>
      <c r="J196" s="10"/>
    </row>
    <row r="197">
      <c r="B197" s="11"/>
      <c r="C197" s="12"/>
      <c r="D197" s="12"/>
      <c r="E197" s="13"/>
      <c r="G197" s="17"/>
      <c r="J197" s="10"/>
    </row>
    <row r="198">
      <c r="B198" s="14"/>
      <c r="C198" s="15"/>
      <c r="D198" s="15"/>
      <c r="E198" s="16"/>
      <c r="G198" s="17"/>
      <c r="J198" s="10"/>
    </row>
    <row r="199">
      <c r="B199" s="11"/>
      <c r="C199" s="12"/>
      <c r="D199" s="12"/>
      <c r="E199" s="13"/>
      <c r="G199" s="17"/>
      <c r="J199" s="10"/>
    </row>
    <row r="200">
      <c r="B200" s="14"/>
      <c r="C200" s="15"/>
      <c r="D200" s="15"/>
      <c r="E200" s="16"/>
      <c r="G200" s="17"/>
      <c r="J200" s="10"/>
    </row>
    <row r="201">
      <c r="B201" s="11"/>
      <c r="C201" s="12"/>
      <c r="D201" s="12"/>
      <c r="E201" s="13"/>
      <c r="G201" s="17"/>
      <c r="J201" s="10"/>
    </row>
    <row r="202">
      <c r="B202" s="97"/>
      <c r="C202" s="15"/>
      <c r="D202" s="15"/>
      <c r="E202" s="16"/>
      <c r="G202" s="17"/>
      <c r="J202" s="10"/>
    </row>
    <row r="203">
      <c r="B203" s="11"/>
      <c r="C203" s="12"/>
      <c r="D203" s="12"/>
      <c r="E203" s="13"/>
      <c r="G203" s="17"/>
      <c r="J203" s="10"/>
    </row>
    <row r="204">
      <c r="B204" s="14"/>
      <c r="C204" s="15"/>
      <c r="D204" s="15"/>
      <c r="E204" s="16"/>
      <c r="G204" s="17"/>
      <c r="J204" s="10"/>
    </row>
    <row r="205">
      <c r="B205" s="11"/>
      <c r="C205" s="12"/>
      <c r="D205" s="12"/>
      <c r="E205" s="13"/>
      <c r="G205" s="17"/>
      <c r="J205" s="10"/>
    </row>
    <row r="206">
      <c r="B206" s="14"/>
      <c r="C206" s="15"/>
      <c r="D206" s="15"/>
      <c r="E206" s="16"/>
      <c r="G206" s="17"/>
      <c r="J206" s="10"/>
    </row>
    <row r="207">
      <c r="B207" s="11"/>
      <c r="C207" s="12"/>
      <c r="D207" s="12"/>
      <c r="E207" s="13"/>
      <c r="G207" s="17"/>
      <c r="J207" s="10"/>
    </row>
    <row r="208">
      <c r="B208" s="14"/>
      <c r="C208" s="15"/>
      <c r="D208" s="15"/>
      <c r="E208" s="16"/>
      <c r="G208" s="17"/>
      <c r="J208" s="10"/>
    </row>
    <row r="209">
      <c r="B209" s="11"/>
      <c r="C209" s="12"/>
      <c r="D209" s="12"/>
      <c r="E209" s="13"/>
      <c r="G209" s="17"/>
      <c r="J209" s="10"/>
    </row>
    <row r="210">
      <c r="B210" s="14"/>
      <c r="C210" s="15"/>
      <c r="D210" s="15"/>
      <c r="E210" s="16"/>
      <c r="G210" s="17"/>
      <c r="J210" s="10"/>
    </row>
    <row r="211">
      <c r="B211" s="11"/>
      <c r="C211" s="12"/>
      <c r="D211" s="12"/>
      <c r="E211" s="13"/>
      <c r="G211" s="17"/>
      <c r="J211" s="10"/>
    </row>
    <row r="212">
      <c r="B212" s="14"/>
      <c r="C212" s="15"/>
      <c r="D212" s="15"/>
      <c r="E212" s="16"/>
      <c r="G212" s="17"/>
      <c r="J212" s="10"/>
    </row>
    <row r="213">
      <c r="B213" s="11"/>
      <c r="C213" s="12"/>
      <c r="D213" s="12"/>
      <c r="E213" s="13"/>
      <c r="G213" s="17"/>
      <c r="J213" s="10"/>
    </row>
    <row r="214">
      <c r="B214" s="14"/>
      <c r="C214" s="15"/>
      <c r="D214" s="15"/>
      <c r="E214" s="16"/>
      <c r="G214" s="17"/>
      <c r="J214" s="10"/>
    </row>
    <row r="215">
      <c r="B215" s="11"/>
      <c r="C215" s="12"/>
      <c r="D215" s="12"/>
      <c r="E215" s="13"/>
      <c r="G215" s="17"/>
      <c r="J215" s="10"/>
    </row>
    <row r="216">
      <c r="B216" s="14"/>
      <c r="C216" s="15"/>
      <c r="D216" s="15"/>
      <c r="E216" s="16"/>
      <c r="G216" s="17"/>
      <c r="J216" s="10"/>
    </row>
    <row r="217">
      <c r="B217" s="11"/>
      <c r="C217" s="12"/>
      <c r="D217" s="12"/>
      <c r="E217" s="13"/>
      <c r="G217" s="17"/>
      <c r="J217" s="10"/>
    </row>
    <row r="218">
      <c r="B218" s="14"/>
      <c r="C218" s="15"/>
      <c r="D218" s="15"/>
      <c r="E218" s="16"/>
      <c r="G218" s="17"/>
      <c r="J218" s="10"/>
    </row>
    <row r="219">
      <c r="B219" s="11"/>
      <c r="C219" s="12"/>
      <c r="D219" s="12"/>
      <c r="E219" s="13"/>
      <c r="G219" s="17"/>
      <c r="J219" s="10"/>
    </row>
    <row r="220">
      <c r="B220" s="14"/>
      <c r="C220" s="15"/>
      <c r="D220" s="15"/>
      <c r="E220" s="16"/>
      <c r="G220" s="17"/>
      <c r="J220" s="10"/>
    </row>
    <row r="221">
      <c r="B221" s="11"/>
      <c r="C221" s="12"/>
      <c r="D221" s="12"/>
      <c r="E221" s="13"/>
      <c r="G221" s="17"/>
      <c r="J221" s="10"/>
    </row>
    <row r="222">
      <c r="B222" s="14"/>
      <c r="C222" s="15"/>
      <c r="D222" s="15"/>
      <c r="E222" s="16"/>
      <c r="G222" s="17"/>
      <c r="J222" s="10"/>
    </row>
    <row r="223">
      <c r="B223" s="11"/>
      <c r="C223" s="12"/>
      <c r="D223" s="12"/>
      <c r="E223" s="13"/>
      <c r="G223" s="17"/>
      <c r="J223" s="10"/>
    </row>
    <row r="224">
      <c r="B224" s="14"/>
      <c r="C224" s="15"/>
      <c r="D224" s="15"/>
      <c r="E224" s="16"/>
      <c r="G224" s="17"/>
      <c r="J224" s="10"/>
    </row>
    <row r="225">
      <c r="B225" s="11"/>
      <c r="C225" s="12"/>
      <c r="D225" s="12"/>
      <c r="E225" s="13"/>
      <c r="G225" s="17"/>
      <c r="J225" s="10"/>
    </row>
    <row r="226">
      <c r="B226" s="14"/>
      <c r="C226" s="15"/>
      <c r="D226" s="15"/>
      <c r="E226" s="16"/>
      <c r="G226" s="17"/>
      <c r="J226" s="10"/>
    </row>
    <row r="227">
      <c r="B227" s="11"/>
      <c r="C227" s="12"/>
      <c r="D227" s="12"/>
      <c r="E227" s="13"/>
      <c r="G227" s="17"/>
      <c r="J227" s="10"/>
    </row>
    <row r="228">
      <c r="B228" s="14"/>
      <c r="C228" s="15"/>
      <c r="D228" s="15"/>
      <c r="E228" s="16"/>
      <c r="G228" s="17"/>
      <c r="J228" s="10"/>
    </row>
    <row r="229">
      <c r="B229" s="11"/>
      <c r="C229" s="12"/>
      <c r="D229" s="12"/>
      <c r="E229" s="13"/>
      <c r="G229" s="17"/>
      <c r="J229" s="10"/>
    </row>
    <row r="230">
      <c r="B230" s="14"/>
      <c r="C230" s="15"/>
      <c r="D230" s="15"/>
      <c r="E230" s="16"/>
      <c r="G230" s="17"/>
      <c r="J230" s="10"/>
    </row>
    <row r="231">
      <c r="B231" s="11"/>
      <c r="C231" s="12"/>
      <c r="D231" s="12"/>
      <c r="E231" s="13"/>
      <c r="G231" s="17"/>
      <c r="J231" s="10"/>
    </row>
    <row r="232">
      <c r="B232" s="14"/>
      <c r="C232" s="15"/>
      <c r="D232" s="15"/>
      <c r="E232" s="16"/>
      <c r="G232" s="17"/>
      <c r="J232" s="10"/>
    </row>
    <row r="233">
      <c r="B233" s="11"/>
      <c r="C233" s="12"/>
      <c r="D233" s="12"/>
      <c r="E233" s="13"/>
      <c r="G233" s="17"/>
      <c r="J233" s="10"/>
    </row>
    <row r="234">
      <c r="B234" s="14"/>
      <c r="C234" s="15"/>
      <c r="D234" s="15"/>
      <c r="E234" s="16"/>
      <c r="G234" s="17"/>
      <c r="J234" s="10"/>
    </row>
    <row r="235">
      <c r="B235" s="11"/>
      <c r="C235" s="12"/>
      <c r="D235" s="12"/>
      <c r="E235" s="13"/>
      <c r="G235" s="17"/>
      <c r="J235" s="10"/>
    </row>
    <row r="236">
      <c r="B236" s="14"/>
      <c r="C236" s="15"/>
      <c r="D236" s="15"/>
      <c r="E236" s="16"/>
      <c r="G236" s="17"/>
      <c r="J236" s="10"/>
    </row>
    <row r="237">
      <c r="B237" s="11"/>
      <c r="C237" s="12"/>
      <c r="D237" s="12"/>
      <c r="E237" s="13"/>
      <c r="G237" s="17"/>
      <c r="J237" s="10"/>
    </row>
    <row r="238">
      <c r="B238" s="14"/>
      <c r="C238" s="15"/>
      <c r="D238" s="15"/>
      <c r="E238" s="16"/>
      <c r="G238" s="17"/>
      <c r="J238" s="10"/>
    </row>
    <row r="239">
      <c r="B239" s="11"/>
      <c r="C239" s="12"/>
      <c r="D239" s="12"/>
      <c r="E239" s="13"/>
      <c r="G239" s="17"/>
      <c r="J239" s="10"/>
    </row>
    <row r="240">
      <c r="B240" s="14"/>
      <c r="C240" s="15"/>
      <c r="D240" s="15"/>
      <c r="E240" s="16"/>
      <c r="G240" s="17"/>
      <c r="J240" s="10"/>
    </row>
    <row r="241">
      <c r="B241" s="11"/>
      <c r="C241" s="12"/>
      <c r="D241" s="12"/>
      <c r="E241" s="13"/>
      <c r="G241" s="17"/>
      <c r="J241" s="10"/>
    </row>
    <row r="242">
      <c r="B242" s="14"/>
      <c r="C242" s="15"/>
      <c r="D242" s="15"/>
      <c r="E242" s="16"/>
      <c r="G242" s="17"/>
      <c r="J242" s="10"/>
    </row>
    <row r="243">
      <c r="B243" s="11"/>
      <c r="C243" s="12"/>
      <c r="D243" s="12"/>
      <c r="E243" s="13"/>
      <c r="G243" s="17"/>
      <c r="J243" s="10"/>
    </row>
    <row r="244">
      <c r="B244" s="14"/>
      <c r="C244" s="15"/>
      <c r="D244" s="15"/>
      <c r="E244" s="16"/>
      <c r="G244" s="17"/>
      <c r="J244" s="10"/>
    </row>
    <row r="245">
      <c r="B245" s="11"/>
      <c r="C245" s="12"/>
      <c r="D245" s="12"/>
      <c r="E245" s="13"/>
      <c r="G245" s="17"/>
      <c r="J245" s="10"/>
    </row>
    <row r="246">
      <c r="B246" s="14"/>
      <c r="C246" s="15"/>
      <c r="D246" s="15"/>
      <c r="E246" s="16"/>
      <c r="G246" s="17"/>
      <c r="J246" s="10"/>
    </row>
    <row r="247">
      <c r="B247" s="11"/>
      <c r="C247" s="12"/>
      <c r="D247" s="12"/>
      <c r="E247" s="13"/>
      <c r="G247" s="17"/>
      <c r="J247" s="10"/>
    </row>
    <row r="248">
      <c r="B248" s="14"/>
      <c r="C248" s="15"/>
      <c r="D248" s="15"/>
      <c r="E248" s="16"/>
      <c r="G248" s="17"/>
      <c r="J248" s="10"/>
    </row>
    <row r="249">
      <c r="B249" s="11"/>
      <c r="C249" s="12"/>
      <c r="D249" s="12"/>
      <c r="E249" s="13"/>
      <c r="G249" s="17"/>
      <c r="J249" s="10"/>
    </row>
    <row r="250">
      <c r="B250" s="14"/>
      <c r="C250" s="15"/>
      <c r="D250" s="15"/>
      <c r="E250" s="16"/>
      <c r="G250" s="17"/>
      <c r="J250" s="10"/>
    </row>
    <row r="251">
      <c r="B251" s="11"/>
      <c r="C251" s="12"/>
      <c r="D251" s="12"/>
      <c r="E251" s="13"/>
      <c r="G251" s="17"/>
      <c r="J251" s="10"/>
    </row>
    <row r="252">
      <c r="B252" s="14"/>
      <c r="C252" s="15"/>
      <c r="D252" s="15"/>
      <c r="E252" s="16"/>
      <c r="G252" s="17"/>
      <c r="J252" s="10"/>
    </row>
    <row r="253">
      <c r="B253" s="11"/>
      <c r="C253" s="12"/>
      <c r="D253" s="12"/>
      <c r="E253" s="13"/>
      <c r="G253" s="17"/>
      <c r="J253" s="10"/>
    </row>
    <row r="254">
      <c r="B254" s="14"/>
      <c r="C254" s="15"/>
      <c r="D254" s="15"/>
      <c r="E254" s="16"/>
      <c r="G254" s="17"/>
      <c r="J254" s="10"/>
    </row>
    <row r="255">
      <c r="B255" s="11"/>
      <c r="C255" s="12"/>
      <c r="D255" s="12"/>
      <c r="E255" s="13"/>
      <c r="G255" s="17"/>
      <c r="J255" s="10"/>
    </row>
    <row r="256">
      <c r="B256" s="14"/>
      <c r="C256" s="15"/>
      <c r="D256" s="15"/>
      <c r="E256" s="16"/>
      <c r="G256" s="17"/>
      <c r="J256" s="10"/>
    </row>
    <row r="257">
      <c r="B257" s="11"/>
      <c r="C257" s="12"/>
      <c r="D257" s="12"/>
      <c r="E257" s="13"/>
      <c r="G257" s="17"/>
      <c r="J257" s="10"/>
    </row>
    <row r="258">
      <c r="B258" s="14"/>
      <c r="C258" s="15"/>
      <c r="D258" s="15"/>
      <c r="E258" s="16"/>
      <c r="G258" s="17"/>
      <c r="J258" s="10"/>
    </row>
    <row r="259">
      <c r="B259" s="11"/>
      <c r="C259" s="12"/>
      <c r="D259" s="12"/>
      <c r="E259" s="13"/>
      <c r="G259" s="17"/>
      <c r="J259" s="10"/>
    </row>
    <row r="260">
      <c r="B260" s="14"/>
      <c r="C260" s="15"/>
      <c r="D260" s="15"/>
      <c r="E260" s="16"/>
      <c r="G260" s="17"/>
      <c r="J260" s="10"/>
    </row>
    <row r="261">
      <c r="B261" s="11"/>
      <c r="C261" s="12"/>
      <c r="D261" s="12"/>
      <c r="E261" s="13"/>
      <c r="G261" s="17"/>
      <c r="J261" s="10"/>
    </row>
    <row r="262">
      <c r="B262" s="14"/>
      <c r="C262" s="15"/>
      <c r="D262" s="15"/>
      <c r="E262" s="16"/>
      <c r="G262" s="17"/>
      <c r="J262" s="10"/>
    </row>
    <row r="263">
      <c r="B263" s="11"/>
      <c r="C263" s="12"/>
      <c r="D263" s="12"/>
      <c r="E263" s="13"/>
      <c r="G263" s="17"/>
      <c r="J263" s="10"/>
    </row>
    <row r="264">
      <c r="B264" s="14"/>
      <c r="C264" s="15"/>
      <c r="D264" s="15"/>
      <c r="E264" s="16"/>
      <c r="G264" s="17"/>
      <c r="J264" s="10"/>
    </row>
    <row r="265">
      <c r="B265" s="11"/>
      <c r="C265" s="12"/>
      <c r="D265" s="12"/>
      <c r="E265" s="13"/>
      <c r="G265" s="17"/>
      <c r="J265" s="10"/>
    </row>
    <row r="266">
      <c r="B266" s="14"/>
      <c r="C266" s="15"/>
      <c r="D266" s="15"/>
      <c r="E266" s="16"/>
      <c r="G266" s="17"/>
      <c r="J266" s="10"/>
    </row>
    <row r="267">
      <c r="B267" s="11"/>
      <c r="C267" s="12"/>
      <c r="D267" s="12"/>
      <c r="E267" s="13"/>
      <c r="G267" s="17"/>
      <c r="J267" s="10"/>
    </row>
    <row r="268">
      <c r="B268" s="14"/>
      <c r="C268" s="15"/>
      <c r="D268" s="15"/>
      <c r="E268" s="16"/>
      <c r="G268" s="17"/>
      <c r="J268" s="10"/>
    </row>
    <row r="269">
      <c r="B269" s="11"/>
      <c r="C269" s="12"/>
      <c r="D269" s="12"/>
      <c r="E269" s="13"/>
      <c r="G269" s="17"/>
      <c r="J269" s="10"/>
    </row>
    <row r="270">
      <c r="B270" s="14"/>
      <c r="C270" s="15"/>
      <c r="D270" s="15"/>
      <c r="E270" s="16"/>
      <c r="G270" s="17"/>
      <c r="J270" s="10"/>
    </row>
    <row r="271">
      <c r="B271" s="11"/>
      <c r="C271" s="12"/>
      <c r="D271" s="12"/>
      <c r="E271" s="13"/>
      <c r="G271" s="17"/>
      <c r="J271" s="10"/>
    </row>
    <row r="272">
      <c r="B272" s="14"/>
      <c r="C272" s="15"/>
      <c r="D272" s="15"/>
      <c r="E272" s="16"/>
      <c r="G272" s="17"/>
      <c r="J272" s="10"/>
    </row>
    <row r="273">
      <c r="B273" s="11"/>
      <c r="C273" s="12"/>
      <c r="D273" s="12"/>
      <c r="E273" s="13"/>
      <c r="G273" s="17"/>
      <c r="J273" s="10"/>
    </row>
    <row r="274">
      <c r="B274" s="14"/>
      <c r="C274" s="15"/>
      <c r="D274" s="15"/>
      <c r="E274" s="16"/>
      <c r="G274" s="17"/>
      <c r="J274" s="10"/>
    </row>
    <row r="275">
      <c r="B275" s="11"/>
      <c r="C275" s="12"/>
      <c r="D275" s="12"/>
      <c r="E275" s="13"/>
      <c r="G275" s="17"/>
      <c r="J275" s="10"/>
    </row>
    <row r="276">
      <c r="B276" s="14"/>
      <c r="C276" s="15"/>
      <c r="D276" s="15"/>
      <c r="E276" s="16"/>
      <c r="G276" s="17"/>
      <c r="J276" s="10"/>
    </row>
    <row r="277">
      <c r="B277" s="11"/>
      <c r="C277" s="12"/>
      <c r="D277" s="12"/>
      <c r="E277" s="13"/>
      <c r="G277" s="17"/>
      <c r="J277" s="10"/>
    </row>
    <row r="278">
      <c r="B278" s="14"/>
      <c r="C278" s="15"/>
      <c r="D278" s="15"/>
      <c r="E278" s="16"/>
      <c r="G278" s="17"/>
      <c r="J278" s="10"/>
    </row>
    <row r="279">
      <c r="B279" s="11"/>
      <c r="C279" s="12"/>
      <c r="D279" s="12"/>
      <c r="E279" s="13"/>
      <c r="G279" s="17"/>
      <c r="J279" s="10"/>
    </row>
    <row r="280">
      <c r="B280" s="14"/>
      <c r="C280" s="15"/>
      <c r="D280" s="15"/>
      <c r="E280" s="16"/>
      <c r="G280" s="17"/>
      <c r="J280" s="10"/>
    </row>
    <row r="281">
      <c r="B281" s="11"/>
      <c r="C281" s="12"/>
      <c r="D281" s="12"/>
      <c r="E281" s="13"/>
      <c r="G281" s="17"/>
      <c r="J281" s="10"/>
    </row>
    <row r="282">
      <c r="B282" s="14"/>
      <c r="C282" s="15"/>
      <c r="D282" s="15"/>
      <c r="E282" s="16"/>
      <c r="G282" s="17"/>
      <c r="J282" s="10"/>
    </row>
    <row r="283">
      <c r="B283" s="11"/>
      <c r="C283" s="12"/>
      <c r="D283" s="12"/>
      <c r="E283" s="13"/>
      <c r="G283" s="17"/>
      <c r="J283" s="10"/>
    </row>
    <row r="284">
      <c r="B284" s="14"/>
      <c r="C284" s="15"/>
      <c r="D284" s="15"/>
      <c r="E284" s="16"/>
      <c r="G284" s="17"/>
      <c r="J284" s="10"/>
    </row>
    <row r="285">
      <c r="B285" s="11"/>
      <c r="C285" s="12"/>
      <c r="D285" s="12"/>
      <c r="E285" s="13"/>
      <c r="G285" s="17"/>
      <c r="J285" s="10"/>
    </row>
    <row r="286">
      <c r="B286" s="14"/>
      <c r="C286" s="15"/>
      <c r="D286" s="15"/>
      <c r="E286" s="16"/>
      <c r="G286" s="17"/>
      <c r="J286" s="10"/>
    </row>
    <row r="287">
      <c r="B287" s="11"/>
      <c r="C287" s="12"/>
      <c r="D287" s="12"/>
      <c r="E287" s="13"/>
      <c r="G287" s="17"/>
      <c r="J287" s="10"/>
    </row>
    <row r="288">
      <c r="B288" s="14"/>
      <c r="C288" s="15"/>
      <c r="D288" s="15"/>
      <c r="E288" s="16"/>
      <c r="G288" s="17"/>
      <c r="J288" s="10"/>
    </row>
    <row r="289">
      <c r="B289" s="11"/>
      <c r="C289" s="12"/>
      <c r="D289" s="12"/>
      <c r="E289" s="13"/>
      <c r="G289" s="17"/>
      <c r="J289" s="10"/>
    </row>
    <row r="290">
      <c r="B290" s="14"/>
      <c r="C290" s="15"/>
      <c r="D290" s="15"/>
      <c r="E290" s="16"/>
      <c r="G290" s="17"/>
      <c r="J290" s="10"/>
    </row>
    <row r="291">
      <c r="B291" s="11"/>
      <c r="C291" s="12"/>
      <c r="D291" s="12"/>
      <c r="E291" s="13"/>
      <c r="G291" s="17"/>
      <c r="J291" s="10"/>
    </row>
    <row r="292">
      <c r="B292" s="14"/>
      <c r="C292" s="15"/>
      <c r="D292" s="15"/>
      <c r="E292" s="16"/>
      <c r="G292" s="17"/>
      <c r="J292" s="10"/>
    </row>
    <row r="293">
      <c r="B293" s="11"/>
      <c r="C293" s="12"/>
      <c r="D293" s="12"/>
      <c r="E293" s="13"/>
      <c r="G293" s="17"/>
      <c r="J293" s="10"/>
    </row>
    <row r="294">
      <c r="B294" s="14"/>
      <c r="C294" s="15"/>
      <c r="D294" s="15"/>
      <c r="E294" s="16"/>
      <c r="G294" s="17"/>
      <c r="J294" s="10"/>
    </row>
    <row r="295">
      <c r="B295" s="11"/>
      <c r="C295" s="12"/>
      <c r="D295" s="12"/>
      <c r="E295" s="13"/>
      <c r="G295" s="17"/>
      <c r="J295" s="10"/>
    </row>
    <row r="296">
      <c r="B296" s="14"/>
      <c r="C296" s="15"/>
      <c r="D296" s="15"/>
      <c r="E296" s="16"/>
      <c r="G296" s="17"/>
      <c r="J296" s="10"/>
    </row>
    <row r="297">
      <c r="B297" s="11"/>
      <c r="C297" s="12"/>
      <c r="D297" s="12"/>
      <c r="E297" s="13"/>
      <c r="G297" s="17"/>
      <c r="J297" s="10"/>
    </row>
    <row r="298">
      <c r="B298" s="14"/>
      <c r="C298" s="15"/>
      <c r="D298" s="15"/>
      <c r="E298" s="16"/>
      <c r="G298" s="17"/>
      <c r="J298" s="10"/>
    </row>
    <row r="299">
      <c r="B299" s="11"/>
      <c r="C299" s="12"/>
      <c r="D299" s="12"/>
      <c r="E299" s="13"/>
      <c r="G299" s="17"/>
      <c r="J299" s="10"/>
    </row>
    <row r="300">
      <c r="B300" s="14"/>
      <c r="C300" s="15"/>
      <c r="D300" s="15"/>
      <c r="E300" s="16"/>
      <c r="G300" s="17"/>
      <c r="J300" s="10"/>
    </row>
    <row r="301">
      <c r="B301" s="11"/>
      <c r="C301" s="12"/>
      <c r="D301" s="12"/>
      <c r="E301" s="13"/>
      <c r="G301" s="17"/>
      <c r="J301" s="10"/>
    </row>
    <row r="302">
      <c r="B302" s="14"/>
      <c r="C302" s="15"/>
      <c r="D302" s="15"/>
      <c r="E302" s="16"/>
      <c r="G302" s="17"/>
      <c r="J302" s="10"/>
    </row>
    <row r="303">
      <c r="B303" s="11"/>
      <c r="C303" s="12"/>
      <c r="D303" s="12"/>
      <c r="E303" s="13"/>
      <c r="G303" s="17"/>
      <c r="J303" s="10"/>
    </row>
    <row r="304">
      <c r="B304" s="14"/>
      <c r="C304" s="15"/>
      <c r="D304" s="15"/>
      <c r="E304" s="16"/>
      <c r="G304" s="17"/>
      <c r="J304" s="10"/>
    </row>
    <row r="305">
      <c r="B305" s="11"/>
      <c r="C305" s="12"/>
      <c r="D305" s="12"/>
      <c r="E305" s="13"/>
      <c r="G305" s="17"/>
      <c r="J305" s="10"/>
    </row>
    <row r="306">
      <c r="B306" s="14"/>
      <c r="C306" s="15"/>
      <c r="D306" s="15"/>
      <c r="E306" s="16"/>
      <c r="G306" s="17"/>
      <c r="J306" s="10"/>
    </row>
    <row r="307">
      <c r="B307" s="11"/>
      <c r="C307" s="12"/>
      <c r="D307" s="12"/>
      <c r="E307" s="13"/>
      <c r="G307" s="17"/>
      <c r="J307" s="10"/>
    </row>
    <row r="308">
      <c r="B308" s="14"/>
      <c r="C308" s="15"/>
      <c r="D308" s="15"/>
      <c r="E308" s="16"/>
      <c r="G308" s="17"/>
      <c r="J308" s="10"/>
    </row>
    <row r="309">
      <c r="B309" s="11"/>
      <c r="C309" s="12"/>
      <c r="D309" s="12"/>
      <c r="E309" s="13"/>
      <c r="G309" s="17"/>
      <c r="J309" s="10"/>
    </row>
    <row r="310">
      <c r="B310" s="14"/>
      <c r="C310" s="15"/>
      <c r="D310" s="15"/>
      <c r="E310" s="16"/>
      <c r="G310" s="17"/>
      <c r="J310" s="10"/>
    </row>
    <row r="311">
      <c r="B311" s="11"/>
      <c r="C311" s="12"/>
      <c r="D311" s="12"/>
      <c r="E311" s="13"/>
      <c r="G311" s="17"/>
      <c r="J311" s="10"/>
    </row>
    <row r="312">
      <c r="B312" s="14"/>
      <c r="C312" s="15"/>
      <c r="D312" s="15"/>
      <c r="E312" s="16"/>
      <c r="G312" s="17"/>
      <c r="J312" s="10"/>
    </row>
    <row r="313">
      <c r="B313" s="11"/>
      <c r="C313" s="12"/>
      <c r="D313" s="12"/>
      <c r="E313" s="13"/>
      <c r="G313" s="17"/>
      <c r="J313" s="10"/>
    </row>
    <row r="314">
      <c r="B314" s="14"/>
      <c r="C314" s="15"/>
      <c r="D314" s="15"/>
      <c r="E314" s="16"/>
      <c r="G314" s="17"/>
      <c r="J314" s="10"/>
    </row>
    <row r="315">
      <c r="B315" s="11"/>
      <c r="C315" s="12"/>
      <c r="D315" s="12"/>
      <c r="E315" s="13"/>
      <c r="G315" s="17"/>
      <c r="J315" s="10"/>
    </row>
    <row r="316">
      <c r="B316" s="14"/>
      <c r="C316" s="15"/>
      <c r="D316" s="15"/>
      <c r="E316" s="16"/>
      <c r="G316" s="17"/>
      <c r="J316" s="10"/>
    </row>
    <row r="317">
      <c r="B317" s="11"/>
      <c r="C317" s="12"/>
      <c r="D317" s="12"/>
      <c r="E317" s="13"/>
      <c r="G317" s="17"/>
      <c r="J317" s="10"/>
    </row>
    <row r="318">
      <c r="B318" s="14"/>
      <c r="C318" s="15"/>
      <c r="D318" s="15"/>
      <c r="E318" s="16"/>
      <c r="G318" s="17"/>
      <c r="J318" s="10"/>
    </row>
    <row r="319">
      <c r="B319" s="11"/>
      <c r="C319" s="12"/>
      <c r="D319" s="12"/>
      <c r="E319" s="13"/>
      <c r="G319" s="17"/>
      <c r="J319" s="10"/>
    </row>
    <row r="320">
      <c r="B320" s="14"/>
      <c r="C320" s="15"/>
      <c r="D320" s="15"/>
      <c r="E320" s="16"/>
      <c r="G320" s="17"/>
      <c r="J320" s="10"/>
    </row>
    <row r="321">
      <c r="B321" s="11"/>
      <c r="C321" s="12"/>
      <c r="D321" s="12"/>
      <c r="E321" s="13"/>
      <c r="G321" s="17"/>
      <c r="J321" s="10"/>
    </row>
    <row r="322">
      <c r="B322" s="14"/>
      <c r="C322" s="15"/>
      <c r="D322" s="15"/>
      <c r="E322" s="16"/>
      <c r="G322" s="17"/>
      <c r="J322" s="10"/>
    </row>
    <row r="323">
      <c r="B323" s="11"/>
      <c r="C323" s="12"/>
      <c r="D323" s="12"/>
      <c r="E323" s="13"/>
      <c r="G323" s="17"/>
      <c r="J323" s="10"/>
    </row>
    <row r="324">
      <c r="B324" s="14"/>
      <c r="C324" s="15"/>
      <c r="D324" s="15"/>
      <c r="E324" s="16"/>
      <c r="G324" s="17"/>
      <c r="J324" s="10"/>
    </row>
    <row r="325">
      <c r="B325" s="11"/>
      <c r="C325" s="12"/>
      <c r="D325" s="12"/>
      <c r="E325" s="13"/>
      <c r="G325" s="17"/>
      <c r="J325" s="10"/>
    </row>
    <row r="326">
      <c r="B326" s="14"/>
      <c r="C326" s="15"/>
      <c r="D326" s="15"/>
      <c r="E326" s="16"/>
      <c r="G326" s="17"/>
      <c r="J326" s="10"/>
    </row>
    <row r="327">
      <c r="B327" s="11"/>
      <c r="C327" s="12"/>
      <c r="D327" s="12"/>
      <c r="E327" s="13"/>
      <c r="G327" s="17"/>
      <c r="J327" s="10"/>
    </row>
    <row r="328">
      <c r="B328" s="14"/>
      <c r="C328" s="15"/>
      <c r="D328" s="15"/>
      <c r="E328" s="16"/>
      <c r="G328" s="17"/>
      <c r="J328" s="10"/>
    </row>
    <row r="329">
      <c r="B329" s="11"/>
      <c r="C329" s="12"/>
      <c r="D329" s="12"/>
      <c r="E329" s="13"/>
      <c r="G329" s="17"/>
      <c r="J329" s="10"/>
    </row>
    <row r="330">
      <c r="B330" s="14"/>
      <c r="C330" s="15"/>
      <c r="D330" s="15"/>
      <c r="E330" s="16"/>
      <c r="G330" s="17"/>
      <c r="J330" s="10"/>
    </row>
    <row r="331">
      <c r="B331" s="11"/>
      <c r="C331" s="12"/>
      <c r="D331" s="12"/>
      <c r="E331" s="13"/>
      <c r="G331" s="17"/>
      <c r="J331" s="10"/>
    </row>
    <row r="332">
      <c r="B332" s="14"/>
      <c r="C332" s="15"/>
      <c r="D332" s="15"/>
      <c r="E332" s="16"/>
      <c r="G332" s="17"/>
      <c r="J332" s="10"/>
    </row>
    <row r="333">
      <c r="B333" s="11"/>
      <c r="C333" s="12"/>
      <c r="D333" s="12"/>
      <c r="E333" s="13"/>
      <c r="G333" s="17"/>
      <c r="J333" s="10"/>
    </row>
    <row r="334">
      <c r="B334" s="14"/>
      <c r="C334" s="15"/>
      <c r="D334" s="15"/>
      <c r="E334" s="16"/>
      <c r="G334" s="17"/>
      <c r="J334" s="10"/>
    </row>
    <row r="335">
      <c r="B335" s="11"/>
      <c r="C335" s="12"/>
      <c r="D335" s="12"/>
      <c r="E335" s="13"/>
      <c r="G335" s="17"/>
      <c r="J335" s="10"/>
    </row>
    <row r="336">
      <c r="B336" s="14"/>
      <c r="C336" s="15"/>
      <c r="D336" s="15"/>
      <c r="E336" s="16"/>
      <c r="G336" s="17"/>
      <c r="J336" s="10"/>
    </row>
    <row r="337">
      <c r="B337" s="11"/>
      <c r="C337" s="12"/>
      <c r="D337" s="12"/>
      <c r="E337" s="13"/>
      <c r="G337" s="17"/>
      <c r="J337" s="10"/>
    </row>
    <row r="338">
      <c r="B338" s="14"/>
      <c r="C338" s="15"/>
      <c r="D338" s="15"/>
      <c r="E338" s="16"/>
      <c r="G338" s="17"/>
      <c r="J338" s="10"/>
    </row>
    <row r="339">
      <c r="B339" s="11"/>
      <c r="C339" s="12"/>
      <c r="D339" s="12"/>
      <c r="E339" s="13"/>
      <c r="G339" s="17"/>
      <c r="J339" s="10"/>
    </row>
    <row r="340">
      <c r="B340" s="14"/>
      <c r="C340" s="15"/>
      <c r="D340" s="15"/>
      <c r="E340" s="16"/>
      <c r="G340" s="17"/>
      <c r="J340" s="10"/>
    </row>
    <row r="341">
      <c r="B341" s="11"/>
      <c r="C341" s="12"/>
      <c r="D341" s="12"/>
      <c r="E341" s="13"/>
      <c r="G341" s="17"/>
      <c r="J341" s="10"/>
    </row>
    <row r="342">
      <c r="B342" s="14"/>
      <c r="C342" s="15"/>
      <c r="D342" s="15"/>
      <c r="E342" s="16"/>
      <c r="G342" s="17"/>
      <c r="J342" s="10"/>
    </row>
    <row r="343">
      <c r="B343" s="11"/>
      <c r="C343" s="12"/>
      <c r="D343" s="12"/>
      <c r="E343" s="13"/>
      <c r="G343" s="17"/>
      <c r="J343" s="10"/>
    </row>
    <row r="344">
      <c r="B344" s="14"/>
      <c r="C344" s="15"/>
      <c r="D344" s="15"/>
      <c r="E344" s="16"/>
      <c r="G344" s="17"/>
      <c r="J344" s="10"/>
    </row>
    <row r="345">
      <c r="B345" s="11"/>
      <c r="C345" s="12"/>
      <c r="D345" s="12"/>
      <c r="E345" s="13"/>
      <c r="G345" s="17"/>
      <c r="J345" s="10"/>
    </row>
    <row r="346">
      <c r="B346" s="14"/>
      <c r="C346" s="15"/>
      <c r="D346" s="15"/>
      <c r="E346" s="16"/>
      <c r="G346" s="17"/>
      <c r="J346" s="10"/>
    </row>
    <row r="347">
      <c r="B347" s="11"/>
      <c r="C347" s="12"/>
      <c r="D347" s="12"/>
      <c r="E347" s="13"/>
      <c r="G347" s="17"/>
      <c r="J347" s="10"/>
    </row>
    <row r="348">
      <c r="B348" s="14"/>
      <c r="C348" s="15"/>
      <c r="D348" s="15"/>
      <c r="E348" s="16"/>
      <c r="G348" s="17"/>
      <c r="J348" s="10"/>
    </row>
    <row r="349">
      <c r="B349" s="11"/>
      <c r="C349" s="12"/>
      <c r="D349" s="12"/>
      <c r="E349" s="13"/>
      <c r="G349" s="17"/>
      <c r="J349" s="10"/>
    </row>
    <row r="350">
      <c r="B350" s="14"/>
      <c r="C350" s="15"/>
      <c r="D350" s="15"/>
      <c r="E350" s="16"/>
      <c r="G350" s="17"/>
      <c r="J350" s="10"/>
    </row>
    <row r="351">
      <c r="B351" s="11"/>
      <c r="C351" s="12"/>
      <c r="D351" s="12"/>
      <c r="E351" s="13"/>
      <c r="G351" s="17"/>
      <c r="J351" s="10"/>
    </row>
    <row r="352">
      <c r="B352" s="14"/>
      <c r="C352" s="15"/>
      <c r="D352" s="15"/>
      <c r="E352" s="16"/>
      <c r="G352" s="17"/>
      <c r="J352" s="10"/>
    </row>
    <row r="353">
      <c r="B353" s="11"/>
      <c r="C353" s="12"/>
      <c r="D353" s="12"/>
      <c r="E353" s="13"/>
      <c r="G353" s="17"/>
      <c r="J353" s="10"/>
    </row>
    <row r="354">
      <c r="B354" s="14"/>
      <c r="C354" s="15"/>
      <c r="D354" s="15"/>
      <c r="E354" s="16"/>
      <c r="G354" s="17"/>
      <c r="J354" s="10"/>
    </row>
    <row r="355">
      <c r="B355" s="11"/>
      <c r="C355" s="12"/>
      <c r="D355" s="12"/>
      <c r="E355" s="13"/>
      <c r="G355" s="17"/>
      <c r="J355" s="10"/>
    </row>
    <row r="356">
      <c r="B356" s="14"/>
      <c r="C356" s="15"/>
      <c r="D356" s="15"/>
      <c r="E356" s="16"/>
      <c r="G356" s="17"/>
      <c r="J356" s="10"/>
    </row>
    <row r="357">
      <c r="B357" s="11"/>
      <c r="C357" s="12"/>
      <c r="D357" s="12"/>
      <c r="E357" s="13"/>
      <c r="G357" s="17"/>
      <c r="J357" s="10"/>
    </row>
    <row r="358">
      <c r="B358" s="14"/>
      <c r="C358" s="15"/>
      <c r="D358" s="15"/>
      <c r="E358" s="16"/>
      <c r="G358" s="17"/>
      <c r="J358" s="10"/>
    </row>
    <row r="359">
      <c r="B359" s="11"/>
      <c r="C359" s="12"/>
      <c r="D359" s="12"/>
      <c r="E359" s="13"/>
      <c r="G359" s="17"/>
      <c r="J359" s="10"/>
    </row>
    <row r="360">
      <c r="B360" s="14"/>
      <c r="C360" s="15"/>
      <c r="D360" s="15"/>
      <c r="E360" s="16"/>
      <c r="G360" s="17"/>
      <c r="J360" s="10"/>
    </row>
    <row r="361">
      <c r="B361" s="11"/>
      <c r="C361" s="12"/>
      <c r="D361" s="12"/>
      <c r="E361" s="13"/>
      <c r="G361" s="17"/>
      <c r="J361" s="10"/>
    </row>
    <row r="362">
      <c r="B362" s="14"/>
      <c r="C362" s="15"/>
      <c r="D362" s="15"/>
      <c r="E362" s="16"/>
      <c r="G362" s="17"/>
      <c r="J362" s="10"/>
    </row>
    <row r="363">
      <c r="B363" s="11"/>
      <c r="C363" s="12"/>
      <c r="D363" s="12"/>
      <c r="E363" s="13"/>
      <c r="G363" s="17"/>
      <c r="J363" s="10"/>
    </row>
    <row r="364">
      <c r="B364" s="14"/>
      <c r="C364" s="15"/>
      <c r="D364" s="15"/>
      <c r="E364" s="16"/>
      <c r="G364" s="17"/>
      <c r="J364" s="10"/>
    </row>
    <row r="365">
      <c r="B365" s="11"/>
      <c r="C365" s="12"/>
      <c r="D365" s="12"/>
      <c r="E365" s="13"/>
      <c r="G365" s="17"/>
      <c r="J365" s="10"/>
    </row>
    <row r="366">
      <c r="B366" s="14"/>
      <c r="C366" s="15"/>
      <c r="D366" s="15"/>
      <c r="E366" s="16"/>
      <c r="G366" s="17"/>
      <c r="J366" s="10"/>
    </row>
    <row r="367">
      <c r="B367" s="11"/>
      <c r="C367" s="12"/>
      <c r="D367" s="12"/>
      <c r="E367" s="13"/>
      <c r="G367" s="17"/>
      <c r="J367" s="10"/>
    </row>
    <row r="368">
      <c r="B368" s="14"/>
      <c r="C368" s="15"/>
      <c r="D368" s="15"/>
      <c r="E368" s="16"/>
      <c r="G368" s="17"/>
      <c r="J368" s="10"/>
    </row>
    <row r="369">
      <c r="B369" s="11"/>
      <c r="C369" s="12"/>
      <c r="D369" s="12"/>
      <c r="E369" s="13"/>
      <c r="G369" s="17"/>
      <c r="J369" s="10"/>
    </row>
    <row r="370">
      <c r="B370" s="14"/>
      <c r="C370" s="15"/>
      <c r="D370" s="15"/>
      <c r="E370" s="16"/>
      <c r="G370" s="17"/>
      <c r="J370" s="10"/>
    </row>
    <row r="371">
      <c r="B371" s="11"/>
      <c r="C371" s="12"/>
      <c r="D371" s="12"/>
      <c r="E371" s="13"/>
      <c r="G371" s="17"/>
      <c r="J371" s="10"/>
    </row>
    <row r="372">
      <c r="B372" s="14"/>
      <c r="C372" s="15"/>
      <c r="D372" s="15"/>
      <c r="E372" s="16"/>
      <c r="G372" s="17"/>
      <c r="J372" s="10"/>
    </row>
    <row r="373">
      <c r="B373" s="11"/>
      <c r="C373" s="12"/>
      <c r="D373" s="12"/>
      <c r="E373" s="13"/>
      <c r="G373" s="17"/>
      <c r="J373" s="10"/>
    </row>
    <row r="374">
      <c r="B374" s="14"/>
      <c r="C374" s="15"/>
      <c r="D374" s="15"/>
      <c r="E374" s="16"/>
      <c r="G374" s="17"/>
      <c r="J374" s="10"/>
    </row>
    <row r="375">
      <c r="B375" s="11"/>
      <c r="C375" s="12"/>
      <c r="D375" s="12"/>
      <c r="E375" s="13"/>
      <c r="G375" s="17"/>
      <c r="J375" s="10"/>
    </row>
    <row r="376">
      <c r="B376" s="14"/>
      <c r="C376" s="15"/>
      <c r="D376" s="15"/>
      <c r="E376" s="16"/>
      <c r="G376" s="17"/>
      <c r="J376" s="10"/>
    </row>
    <row r="377">
      <c r="B377" s="11"/>
      <c r="C377" s="12"/>
      <c r="D377" s="12"/>
      <c r="E377" s="13"/>
      <c r="G377" s="17"/>
      <c r="J377" s="10"/>
    </row>
    <row r="378">
      <c r="B378" s="14"/>
      <c r="C378" s="15"/>
      <c r="D378" s="15"/>
      <c r="E378" s="16"/>
      <c r="G378" s="17"/>
      <c r="J378" s="10"/>
    </row>
    <row r="379">
      <c r="B379" s="11"/>
      <c r="C379" s="12"/>
      <c r="D379" s="12"/>
      <c r="E379" s="13"/>
      <c r="G379" s="17"/>
      <c r="J379" s="10"/>
    </row>
    <row r="380">
      <c r="B380" s="14"/>
      <c r="C380" s="15"/>
      <c r="D380" s="15"/>
      <c r="E380" s="16"/>
      <c r="G380" s="17"/>
      <c r="J380" s="10"/>
    </row>
    <row r="381">
      <c r="B381" s="11"/>
      <c r="C381" s="12"/>
      <c r="D381" s="12"/>
      <c r="E381" s="13"/>
      <c r="G381" s="17"/>
      <c r="J381" s="10"/>
    </row>
    <row r="382">
      <c r="B382" s="14"/>
      <c r="C382" s="15"/>
      <c r="D382" s="15"/>
      <c r="E382" s="16"/>
      <c r="G382" s="17"/>
      <c r="J382" s="10"/>
    </row>
    <row r="383">
      <c r="B383" s="11"/>
      <c r="C383" s="12"/>
      <c r="D383" s="12"/>
      <c r="E383" s="13"/>
      <c r="G383" s="17"/>
      <c r="J383" s="10"/>
    </row>
    <row r="384">
      <c r="B384" s="14"/>
      <c r="C384" s="15"/>
      <c r="D384" s="15"/>
      <c r="E384" s="16"/>
      <c r="G384" s="17"/>
      <c r="J384" s="10"/>
    </row>
    <row r="385">
      <c r="B385" s="11"/>
      <c r="C385" s="12"/>
      <c r="D385" s="12"/>
      <c r="E385" s="13"/>
      <c r="G385" s="17"/>
      <c r="J385" s="10"/>
    </row>
    <row r="386">
      <c r="B386" s="14"/>
      <c r="C386" s="15"/>
      <c r="D386" s="15"/>
      <c r="E386" s="16"/>
      <c r="G386" s="17"/>
      <c r="J386" s="10"/>
    </row>
    <row r="387">
      <c r="B387" s="11"/>
      <c r="C387" s="12"/>
      <c r="D387" s="12"/>
      <c r="E387" s="13"/>
      <c r="G387" s="17"/>
      <c r="J387" s="10"/>
    </row>
    <row r="388">
      <c r="B388" s="14"/>
      <c r="C388" s="15"/>
      <c r="D388" s="15"/>
      <c r="E388" s="16"/>
      <c r="G388" s="17"/>
      <c r="J388" s="10"/>
    </row>
    <row r="389">
      <c r="B389" s="11"/>
      <c r="C389" s="12"/>
      <c r="D389" s="12"/>
      <c r="E389" s="13"/>
      <c r="G389" s="17"/>
      <c r="J389" s="10"/>
    </row>
    <row r="390">
      <c r="B390" s="14"/>
      <c r="C390" s="15"/>
      <c r="D390" s="15"/>
      <c r="E390" s="16"/>
      <c r="G390" s="17"/>
      <c r="J390" s="10"/>
    </row>
    <row r="391">
      <c r="B391" s="11"/>
      <c r="C391" s="12"/>
      <c r="D391" s="12"/>
      <c r="E391" s="13"/>
      <c r="G391" s="17"/>
      <c r="J391" s="10"/>
    </row>
    <row r="392">
      <c r="B392" s="14"/>
      <c r="C392" s="15"/>
      <c r="D392" s="15"/>
      <c r="E392" s="16"/>
      <c r="G392" s="17"/>
      <c r="J392" s="10"/>
    </row>
    <row r="393">
      <c r="B393" s="11"/>
      <c r="C393" s="12"/>
      <c r="D393" s="12"/>
      <c r="E393" s="13"/>
      <c r="G393" s="17"/>
      <c r="J393" s="10"/>
    </row>
    <row r="394">
      <c r="B394" s="14"/>
      <c r="C394" s="15"/>
      <c r="D394" s="15"/>
      <c r="E394" s="16"/>
      <c r="G394" s="17"/>
      <c r="J394" s="10"/>
    </row>
    <row r="395">
      <c r="B395" s="11"/>
      <c r="C395" s="12"/>
      <c r="D395" s="12"/>
      <c r="E395" s="13"/>
      <c r="G395" s="17"/>
      <c r="J395" s="10"/>
    </row>
    <row r="396">
      <c r="B396" s="14"/>
      <c r="C396" s="15"/>
      <c r="D396" s="15"/>
      <c r="E396" s="16"/>
      <c r="G396" s="17"/>
      <c r="J396" s="10"/>
    </row>
    <row r="397">
      <c r="B397" s="11"/>
      <c r="C397" s="12"/>
      <c r="D397" s="12"/>
      <c r="E397" s="13"/>
      <c r="G397" s="17"/>
      <c r="J397" s="10"/>
    </row>
    <row r="398">
      <c r="B398" s="14"/>
      <c r="C398" s="15"/>
      <c r="D398" s="15"/>
      <c r="E398" s="16"/>
      <c r="G398" s="17"/>
      <c r="J398" s="10"/>
    </row>
    <row r="399">
      <c r="B399" s="11"/>
      <c r="C399" s="12"/>
      <c r="D399" s="12"/>
      <c r="E399" s="13"/>
      <c r="G399" s="17"/>
      <c r="J399" s="10"/>
    </row>
    <row r="400">
      <c r="B400" s="14"/>
      <c r="C400" s="15"/>
      <c r="D400" s="15"/>
      <c r="E400" s="16"/>
      <c r="G400" s="17"/>
      <c r="J400" s="10"/>
    </row>
    <row r="401">
      <c r="B401" s="11"/>
      <c r="C401" s="12"/>
      <c r="D401" s="12"/>
      <c r="E401" s="13"/>
      <c r="G401" s="17"/>
      <c r="J401" s="10"/>
    </row>
    <row r="402">
      <c r="B402" s="14"/>
      <c r="C402" s="15"/>
      <c r="D402" s="15"/>
      <c r="E402" s="16"/>
      <c r="G402" s="17"/>
      <c r="J402" s="10"/>
    </row>
    <row r="403">
      <c r="B403" s="11"/>
      <c r="C403" s="12"/>
      <c r="D403" s="12"/>
      <c r="E403" s="13"/>
      <c r="G403" s="17"/>
      <c r="J403" s="10"/>
    </row>
    <row r="404">
      <c r="B404" s="14"/>
      <c r="C404" s="15"/>
      <c r="D404" s="15"/>
      <c r="E404" s="16"/>
      <c r="G404" s="17"/>
      <c r="J404" s="10"/>
    </row>
    <row r="405">
      <c r="B405" s="11"/>
      <c r="C405" s="12"/>
      <c r="D405" s="12"/>
      <c r="E405" s="13"/>
      <c r="G405" s="17"/>
      <c r="J405" s="10"/>
    </row>
    <row r="406">
      <c r="B406" s="14"/>
      <c r="C406" s="15"/>
      <c r="D406" s="15"/>
      <c r="E406" s="16"/>
      <c r="G406" s="17"/>
      <c r="J406" s="10"/>
    </row>
    <row r="407">
      <c r="B407" s="11"/>
      <c r="C407" s="12"/>
      <c r="D407" s="12"/>
      <c r="E407" s="13"/>
      <c r="G407" s="17"/>
      <c r="J407" s="10"/>
    </row>
    <row r="408">
      <c r="B408" s="14"/>
      <c r="C408" s="15"/>
      <c r="D408" s="15"/>
      <c r="E408" s="16"/>
      <c r="G408" s="17"/>
      <c r="J408" s="10"/>
    </row>
    <row r="409">
      <c r="B409" s="11"/>
      <c r="C409" s="12"/>
      <c r="D409" s="12"/>
      <c r="E409" s="13"/>
      <c r="G409" s="17"/>
      <c r="J409" s="10"/>
    </row>
    <row r="410">
      <c r="B410" s="14"/>
      <c r="C410" s="15"/>
      <c r="D410" s="15"/>
      <c r="E410" s="16"/>
      <c r="G410" s="17"/>
      <c r="J410" s="10"/>
    </row>
    <row r="411">
      <c r="B411" s="11"/>
      <c r="C411" s="12"/>
      <c r="D411" s="12"/>
      <c r="E411" s="13"/>
      <c r="G411" s="17"/>
      <c r="J411" s="10"/>
    </row>
    <row r="412">
      <c r="B412" s="14"/>
      <c r="C412" s="15"/>
      <c r="D412" s="15"/>
      <c r="E412" s="16"/>
      <c r="G412" s="17"/>
      <c r="J412" s="10"/>
    </row>
    <row r="413">
      <c r="B413" s="11"/>
      <c r="C413" s="12"/>
      <c r="D413" s="12"/>
      <c r="E413" s="13"/>
      <c r="G413" s="17"/>
      <c r="J413" s="10"/>
    </row>
    <row r="414">
      <c r="B414" s="14"/>
      <c r="C414" s="15"/>
      <c r="D414" s="15"/>
      <c r="E414" s="16"/>
      <c r="G414" s="17"/>
      <c r="J414" s="10"/>
    </row>
    <row r="415">
      <c r="B415" s="11"/>
      <c r="C415" s="12"/>
      <c r="D415" s="12"/>
      <c r="E415" s="13"/>
      <c r="G415" s="17"/>
      <c r="J415" s="10"/>
    </row>
    <row r="416">
      <c r="B416" s="14"/>
      <c r="C416" s="15"/>
      <c r="D416" s="15"/>
      <c r="E416" s="16"/>
      <c r="G416" s="17"/>
      <c r="J416" s="10"/>
    </row>
    <row r="417">
      <c r="B417" s="11"/>
      <c r="C417" s="12"/>
      <c r="D417" s="12"/>
      <c r="E417" s="13"/>
      <c r="G417" s="17"/>
      <c r="J417" s="10"/>
    </row>
    <row r="418">
      <c r="B418" s="14"/>
      <c r="C418" s="15"/>
      <c r="D418" s="15"/>
      <c r="E418" s="16"/>
      <c r="G418" s="17"/>
      <c r="J418" s="10"/>
    </row>
    <row r="419">
      <c r="B419" s="11"/>
      <c r="C419" s="12"/>
      <c r="D419" s="12"/>
      <c r="E419" s="13"/>
      <c r="G419" s="17"/>
      <c r="J419" s="10"/>
    </row>
    <row r="420">
      <c r="B420" s="14"/>
      <c r="C420" s="15"/>
      <c r="D420" s="15"/>
      <c r="E420" s="16"/>
      <c r="G420" s="17"/>
      <c r="J420" s="10"/>
    </row>
    <row r="421">
      <c r="B421" s="11"/>
      <c r="C421" s="12"/>
      <c r="D421" s="12"/>
      <c r="E421" s="13"/>
      <c r="G421" s="17"/>
      <c r="J421" s="10"/>
    </row>
    <row r="422">
      <c r="B422" s="14"/>
      <c r="C422" s="15"/>
      <c r="D422" s="15"/>
      <c r="E422" s="16"/>
      <c r="G422" s="17"/>
      <c r="J422" s="10"/>
    </row>
    <row r="423">
      <c r="B423" s="11"/>
      <c r="C423" s="12"/>
      <c r="D423" s="12"/>
      <c r="E423" s="13"/>
      <c r="G423" s="17"/>
      <c r="J423" s="10"/>
    </row>
    <row r="424">
      <c r="B424" s="14"/>
      <c r="C424" s="15"/>
      <c r="D424" s="15"/>
      <c r="E424" s="16"/>
      <c r="G424" s="17"/>
      <c r="J424" s="10"/>
    </row>
    <row r="425">
      <c r="B425" s="11"/>
      <c r="C425" s="12"/>
      <c r="D425" s="12"/>
      <c r="E425" s="13"/>
      <c r="G425" s="17"/>
      <c r="J425" s="10"/>
    </row>
    <row r="426">
      <c r="B426" s="14"/>
      <c r="C426" s="15"/>
      <c r="D426" s="15"/>
      <c r="E426" s="16"/>
      <c r="G426" s="17"/>
      <c r="J426" s="10"/>
    </row>
    <row r="427">
      <c r="B427" s="11"/>
      <c r="C427" s="12"/>
      <c r="D427" s="12"/>
      <c r="E427" s="13"/>
      <c r="G427" s="17"/>
      <c r="J427" s="10"/>
    </row>
    <row r="428">
      <c r="B428" s="14"/>
      <c r="C428" s="15"/>
      <c r="D428" s="15"/>
      <c r="E428" s="16"/>
      <c r="G428" s="17"/>
      <c r="J428" s="10"/>
    </row>
    <row r="429">
      <c r="B429" s="11"/>
      <c r="C429" s="12"/>
      <c r="D429" s="12"/>
      <c r="E429" s="13"/>
      <c r="G429" s="17"/>
      <c r="J429" s="10"/>
    </row>
    <row r="430">
      <c r="B430" s="14"/>
      <c r="C430" s="15"/>
      <c r="D430" s="15"/>
      <c r="E430" s="16"/>
      <c r="G430" s="17"/>
      <c r="J430" s="10"/>
    </row>
    <row r="431">
      <c r="B431" s="11"/>
      <c r="C431" s="12"/>
      <c r="D431" s="12"/>
      <c r="E431" s="13"/>
      <c r="G431" s="17"/>
      <c r="J431" s="10"/>
    </row>
    <row r="432">
      <c r="B432" s="14"/>
      <c r="C432" s="15"/>
      <c r="D432" s="15"/>
      <c r="E432" s="16"/>
      <c r="G432" s="17"/>
      <c r="J432" s="10"/>
    </row>
    <row r="433">
      <c r="B433" s="11"/>
      <c r="C433" s="12"/>
      <c r="D433" s="12"/>
      <c r="E433" s="13"/>
      <c r="G433" s="17"/>
      <c r="J433" s="10"/>
    </row>
    <row r="434">
      <c r="B434" s="14"/>
      <c r="C434" s="15"/>
      <c r="D434" s="15"/>
      <c r="E434" s="16"/>
      <c r="G434" s="17"/>
      <c r="J434" s="10"/>
    </row>
    <row r="435">
      <c r="B435" s="11"/>
      <c r="C435" s="12"/>
      <c r="D435" s="12"/>
      <c r="E435" s="13"/>
      <c r="G435" s="17"/>
      <c r="J435" s="10"/>
    </row>
    <row r="436">
      <c r="B436" s="14"/>
      <c r="C436" s="15"/>
      <c r="D436" s="15"/>
      <c r="E436" s="16"/>
      <c r="G436" s="17"/>
      <c r="J436" s="10"/>
    </row>
    <row r="437">
      <c r="B437" s="11"/>
      <c r="C437" s="12"/>
      <c r="D437" s="12"/>
      <c r="E437" s="13"/>
      <c r="G437" s="17"/>
      <c r="J437" s="10"/>
    </row>
    <row r="438">
      <c r="B438" s="14"/>
      <c r="C438" s="15"/>
      <c r="D438" s="15"/>
      <c r="E438" s="16"/>
      <c r="G438" s="17"/>
      <c r="J438" s="10"/>
    </row>
    <row r="439">
      <c r="B439" s="11"/>
      <c r="C439" s="12"/>
      <c r="D439" s="12"/>
      <c r="E439" s="13"/>
      <c r="G439" s="17"/>
      <c r="J439" s="10"/>
    </row>
    <row r="440">
      <c r="B440" s="14"/>
      <c r="C440" s="15"/>
      <c r="D440" s="15"/>
      <c r="E440" s="16"/>
      <c r="G440" s="17"/>
      <c r="J440" s="10"/>
    </row>
    <row r="441">
      <c r="B441" s="11"/>
      <c r="C441" s="12"/>
      <c r="D441" s="12"/>
      <c r="E441" s="13"/>
      <c r="G441" s="17"/>
      <c r="J441" s="10"/>
    </row>
    <row r="442">
      <c r="B442" s="14"/>
      <c r="C442" s="15"/>
      <c r="D442" s="15"/>
      <c r="E442" s="16"/>
      <c r="G442" s="17"/>
      <c r="J442" s="10"/>
    </row>
    <row r="443">
      <c r="B443" s="11"/>
      <c r="C443" s="12"/>
      <c r="D443" s="12"/>
      <c r="E443" s="13"/>
      <c r="G443" s="17"/>
      <c r="J443" s="10"/>
    </row>
    <row r="444">
      <c r="B444" s="14"/>
      <c r="C444" s="15"/>
      <c r="D444" s="15"/>
      <c r="E444" s="16"/>
      <c r="G444" s="17"/>
      <c r="J444" s="10"/>
    </row>
    <row r="445">
      <c r="B445" s="11"/>
      <c r="C445" s="12"/>
      <c r="D445" s="12"/>
      <c r="E445" s="13"/>
      <c r="G445" s="17"/>
      <c r="J445" s="10"/>
    </row>
    <row r="446">
      <c r="B446" s="14"/>
      <c r="C446" s="15"/>
      <c r="D446" s="15"/>
      <c r="E446" s="16"/>
      <c r="G446" s="17"/>
      <c r="J446" s="10"/>
    </row>
    <row r="447">
      <c r="B447" s="11"/>
      <c r="C447" s="12"/>
      <c r="D447" s="12"/>
      <c r="E447" s="13"/>
      <c r="G447" s="17"/>
      <c r="J447" s="10"/>
    </row>
    <row r="448">
      <c r="B448" s="14"/>
      <c r="C448" s="15"/>
      <c r="D448" s="15"/>
      <c r="E448" s="16"/>
      <c r="G448" s="17"/>
      <c r="J448" s="10"/>
    </row>
    <row r="449">
      <c r="B449" s="11"/>
      <c r="C449" s="12"/>
      <c r="D449" s="12"/>
      <c r="E449" s="13"/>
      <c r="G449" s="17"/>
      <c r="J449" s="10"/>
    </row>
    <row r="450">
      <c r="B450" s="14"/>
      <c r="C450" s="15"/>
      <c r="D450" s="15"/>
      <c r="E450" s="16"/>
      <c r="G450" s="17"/>
      <c r="J450" s="10"/>
    </row>
    <row r="451">
      <c r="B451" s="11"/>
      <c r="C451" s="12"/>
      <c r="D451" s="12"/>
      <c r="E451" s="13"/>
      <c r="G451" s="17"/>
      <c r="J451" s="10"/>
    </row>
    <row r="452">
      <c r="B452" s="14"/>
      <c r="C452" s="15"/>
      <c r="D452" s="15"/>
      <c r="E452" s="16"/>
      <c r="G452" s="17"/>
      <c r="J452" s="10"/>
    </row>
    <row r="453">
      <c r="B453" s="11"/>
      <c r="C453" s="12"/>
      <c r="D453" s="12"/>
      <c r="E453" s="13"/>
      <c r="G453" s="17"/>
      <c r="J453" s="10"/>
    </row>
    <row r="454">
      <c r="B454" s="14"/>
      <c r="C454" s="15"/>
      <c r="D454" s="15"/>
      <c r="E454" s="16"/>
      <c r="G454" s="17"/>
      <c r="J454" s="10"/>
    </row>
    <row r="455">
      <c r="B455" s="11"/>
      <c r="C455" s="12"/>
      <c r="D455" s="12"/>
      <c r="E455" s="13"/>
      <c r="G455" s="17"/>
      <c r="J455" s="10"/>
    </row>
    <row r="456">
      <c r="B456" s="14"/>
      <c r="C456" s="15"/>
      <c r="D456" s="15"/>
      <c r="E456" s="16"/>
      <c r="G456" s="17"/>
      <c r="J456" s="10"/>
    </row>
    <row r="457">
      <c r="B457" s="11"/>
      <c r="C457" s="12"/>
      <c r="D457" s="12"/>
      <c r="E457" s="13"/>
      <c r="G457" s="17"/>
      <c r="J457" s="10"/>
    </row>
    <row r="458">
      <c r="B458" s="14"/>
      <c r="C458" s="15"/>
      <c r="D458" s="15"/>
      <c r="E458" s="16"/>
      <c r="G458" s="17"/>
      <c r="J458" s="10"/>
    </row>
    <row r="459">
      <c r="B459" s="11"/>
      <c r="C459" s="12"/>
      <c r="D459" s="12"/>
      <c r="E459" s="13"/>
      <c r="G459" s="17"/>
      <c r="J459" s="10"/>
    </row>
    <row r="460">
      <c r="B460" s="14"/>
      <c r="C460" s="15"/>
      <c r="D460" s="15"/>
      <c r="E460" s="16"/>
      <c r="G460" s="17"/>
      <c r="J460" s="10"/>
    </row>
    <row r="461">
      <c r="B461" s="11"/>
      <c r="C461" s="12"/>
      <c r="D461" s="12"/>
      <c r="E461" s="13"/>
      <c r="G461" s="17"/>
      <c r="J461" s="10"/>
    </row>
    <row r="462">
      <c r="B462" s="14"/>
      <c r="C462" s="15"/>
      <c r="D462" s="15"/>
      <c r="E462" s="16"/>
      <c r="G462" s="17"/>
      <c r="J462" s="10"/>
    </row>
    <row r="463">
      <c r="B463" s="11"/>
      <c r="C463" s="12"/>
      <c r="D463" s="12"/>
      <c r="E463" s="13"/>
      <c r="G463" s="17"/>
      <c r="J463" s="10"/>
    </row>
    <row r="464">
      <c r="B464" s="14"/>
      <c r="C464" s="15"/>
      <c r="D464" s="15"/>
      <c r="E464" s="16"/>
      <c r="G464" s="17"/>
      <c r="J464" s="10"/>
    </row>
    <row r="465">
      <c r="B465" s="11"/>
      <c r="C465" s="12"/>
      <c r="D465" s="12"/>
      <c r="E465" s="13"/>
      <c r="G465" s="17"/>
      <c r="J465" s="10"/>
    </row>
    <row r="466">
      <c r="B466" s="14"/>
      <c r="C466" s="15"/>
      <c r="D466" s="15"/>
      <c r="E466" s="16"/>
      <c r="G466" s="17"/>
      <c r="J466" s="10"/>
    </row>
    <row r="467">
      <c r="B467" s="11"/>
      <c r="C467" s="12"/>
      <c r="D467" s="12"/>
      <c r="E467" s="13"/>
      <c r="G467" s="17"/>
      <c r="J467" s="10"/>
    </row>
    <row r="468">
      <c r="B468" s="14"/>
      <c r="C468" s="15"/>
      <c r="D468" s="15"/>
      <c r="E468" s="16"/>
      <c r="G468" s="17"/>
      <c r="J468" s="10"/>
    </row>
    <row r="469">
      <c r="B469" s="11"/>
      <c r="C469" s="12"/>
      <c r="D469" s="12"/>
      <c r="E469" s="13"/>
      <c r="G469" s="17"/>
      <c r="J469" s="10"/>
    </row>
    <row r="470">
      <c r="B470" s="14"/>
      <c r="C470" s="15"/>
      <c r="D470" s="15"/>
      <c r="E470" s="16"/>
      <c r="G470" s="17"/>
      <c r="J470" s="10"/>
    </row>
    <row r="471">
      <c r="B471" s="11"/>
      <c r="C471" s="12"/>
      <c r="D471" s="12"/>
      <c r="E471" s="13"/>
      <c r="G471" s="17"/>
      <c r="J471" s="10"/>
    </row>
    <row r="472">
      <c r="B472" s="14"/>
      <c r="C472" s="15"/>
      <c r="D472" s="15"/>
      <c r="E472" s="16"/>
      <c r="G472" s="17"/>
      <c r="J472" s="10"/>
    </row>
    <row r="473">
      <c r="B473" s="11"/>
      <c r="C473" s="12"/>
      <c r="D473" s="12"/>
      <c r="E473" s="13"/>
      <c r="G473" s="17"/>
      <c r="J473" s="10"/>
    </row>
    <row r="474">
      <c r="B474" s="14"/>
      <c r="C474" s="15"/>
      <c r="D474" s="15"/>
      <c r="E474" s="16"/>
      <c r="G474" s="17"/>
      <c r="J474" s="10"/>
    </row>
    <row r="475">
      <c r="B475" s="11"/>
      <c r="C475" s="12"/>
      <c r="D475" s="12"/>
      <c r="E475" s="13"/>
      <c r="G475" s="17"/>
      <c r="J475" s="10"/>
    </row>
    <row r="476">
      <c r="B476" s="14"/>
      <c r="C476" s="15"/>
      <c r="D476" s="15"/>
      <c r="E476" s="16"/>
      <c r="G476" s="17"/>
      <c r="J476" s="10"/>
    </row>
    <row r="477">
      <c r="B477" s="11"/>
      <c r="C477" s="12"/>
      <c r="D477" s="12"/>
      <c r="E477" s="13"/>
      <c r="G477" s="17"/>
      <c r="J477" s="10"/>
    </row>
    <row r="478">
      <c r="B478" s="14"/>
      <c r="C478" s="15"/>
      <c r="D478" s="15"/>
      <c r="E478" s="16"/>
      <c r="G478" s="17"/>
      <c r="J478" s="10"/>
    </row>
    <row r="479">
      <c r="B479" s="11"/>
      <c r="C479" s="12"/>
      <c r="D479" s="12"/>
      <c r="E479" s="13"/>
      <c r="G479" s="17"/>
      <c r="J479" s="10"/>
    </row>
    <row r="480">
      <c r="B480" s="14"/>
      <c r="C480" s="15"/>
      <c r="D480" s="15"/>
      <c r="E480" s="16"/>
      <c r="G480" s="17"/>
      <c r="J480" s="10"/>
    </row>
    <row r="481">
      <c r="B481" s="11"/>
      <c r="C481" s="12"/>
      <c r="D481" s="12"/>
      <c r="E481" s="13"/>
      <c r="G481" s="17"/>
      <c r="J481" s="10"/>
    </row>
    <row r="482">
      <c r="B482" s="14"/>
      <c r="C482" s="15"/>
      <c r="D482" s="15"/>
      <c r="E482" s="16"/>
      <c r="G482" s="17"/>
      <c r="J482" s="10"/>
    </row>
    <row r="483">
      <c r="B483" s="11"/>
      <c r="C483" s="12"/>
      <c r="D483" s="12"/>
      <c r="E483" s="13"/>
      <c r="G483" s="17"/>
      <c r="J483" s="10"/>
    </row>
    <row r="484">
      <c r="B484" s="14"/>
      <c r="C484" s="15"/>
      <c r="D484" s="15"/>
      <c r="E484" s="16"/>
      <c r="G484" s="17"/>
      <c r="J484" s="10"/>
    </row>
    <row r="485">
      <c r="B485" s="11"/>
      <c r="C485" s="12"/>
      <c r="D485" s="12"/>
      <c r="E485" s="13"/>
      <c r="G485" s="17"/>
      <c r="J485" s="10"/>
    </row>
    <row r="486">
      <c r="B486" s="14"/>
      <c r="C486" s="15"/>
      <c r="D486" s="15"/>
      <c r="E486" s="16"/>
      <c r="G486" s="17"/>
      <c r="J486" s="10"/>
    </row>
    <row r="487">
      <c r="B487" s="11"/>
      <c r="C487" s="12"/>
      <c r="D487" s="12"/>
      <c r="E487" s="13"/>
      <c r="G487" s="17"/>
      <c r="J487" s="10"/>
    </row>
    <row r="488">
      <c r="B488" s="14"/>
      <c r="C488" s="15"/>
      <c r="D488" s="15"/>
      <c r="E488" s="16"/>
      <c r="G488" s="17"/>
      <c r="J488" s="10"/>
    </row>
    <row r="489">
      <c r="B489" s="11"/>
      <c r="C489" s="12"/>
      <c r="D489" s="12"/>
      <c r="E489" s="13"/>
      <c r="G489" s="17"/>
      <c r="J489" s="10"/>
    </row>
    <row r="490">
      <c r="B490" s="14"/>
      <c r="C490" s="15"/>
      <c r="D490" s="15"/>
      <c r="E490" s="16"/>
      <c r="G490" s="17"/>
      <c r="J490" s="10"/>
    </row>
    <row r="491">
      <c r="B491" s="11"/>
      <c r="C491" s="12"/>
      <c r="D491" s="12"/>
      <c r="E491" s="13"/>
      <c r="G491" s="17"/>
      <c r="J491" s="10"/>
    </row>
    <row r="492">
      <c r="B492" s="14"/>
      <c r="C492" s="15"/>
      <c r="D492" s="15"/>
      <c r="E492" s="16"/>
      <c r="G492" s="17"/>
      <c r="J492" s="10"/>
    </row>
    <row r="493">
      <c r="B493" s="11"/>
      <c r="C493" s="12"/>
      <c r="D493" s="12"/>
      <c r="E493" s="13"/>
      <c r="G493" s="17"/>
      <c r="J493" s="10"/>
    </row>
    <row r="494">
      <c r="B494" s="14"/>
      <c r="C494" s="15"/>
      <c r="D494" s="15"/>
      <c r="E494" s="16"/>
      <c r="G494" s="17"/>
      <c r="J494" s="10"/>
    </row>
    <row r="495">
      <c r="B495" s="11"/>
      <c r="C495" s="12"/>
      <c r="D495" s="12"/>
      <c r="E495" s="13"/>
      <c r="G495" s="17"/>
      <c r="J495" s="10"/>
    </row>
    <row r="496">
      <c r="B496" s="14"/>
      <c r="C496" s="15"/>
      <c r="D496" s="15"/>
      <c r="E496" s="16"/>
      <c r="G496" s="17"/>
      <c r="J496" s="10"/>
    </row>
    <row r="497">
      <c r="B497" s="11"/>
      <c r="C497" s="12"/>
      <c r="D497" s="12"/>
      <c r="E497" s="13"/>
      <c r="G497" s="17"/>
      <c r="J497" s="10"/>
    </row>
    <row r="498">
      <c r="B498" s="14"/>
      <c r="C498" s="15"/>
      <c r="D498" s="15"/>
      <c r="E498" s="16"/>
      <c r="G498" s="17"/>
      <c r="J498" s="10"/>
    </row>
    <row r="499">
      <c r="B499" s="11"/>
      <c r="C499" s="12"/>
      <c r="D499" s="12"/>
      <c r="E499" s="13"/>
      <c r="G499" s="17"/>
      <c r="J499" s="10"/>
    </row>
    <row r="500">
      <c r="B500" s="14"/>
      <c r="C500" s="15"/>
      <c r="D500" s="15"/>
      <c r="E500" s="16"/>
      <c r="G500" s="17"/>
      <c r="J500" s="10"/>
    </row>
    <row r="501">
      <c r="B501" s="11"/>
      <c r="C501" s="12"/>
      <c r="D501" s="12"/>
      <c r="E501" s="13"/>
      <c r="G501" s="17"/>
      <c r="J501" s="10"/>
    </row>
    <row r="502">
      <c r="B502" s="14"/>
      <c r="C502" s="15"/>
      <c r="D502" s="15"/>
      <c r="E502" s="16"/>
      <c r="G502" s="17"/>
      <c r="J502" s="10"/>
    </row>
    <row r="503">
      <c r="B503" s="11"/>
      <c r="C503" s="12"/>
      <c r="D503" s="12"/>
      <c r="E503" s="13"/>
      <c r="G503" s="17"/>
      <c r="J503" s="10"/>
    </row>
    <row r="504">
      <c r="B504" s="14"/>
      <c r="C504" s="15"/>
      <c r="D504" s="15"/>
      <c r="E504" s="16"/>
      <c r="G504" s="17"/>
      <c r="J504" s="10"/>
    </row>
    <row r="505">
      <c r="B505" s="11"/>
      <c r="C505" s="12"/>
      <c r="D505" s="12"/>
      <c r="E505" s="13"/>
      <c r="G505" s="17"/>
      <c r="J505" s="10"/>
    </row>
    <row r="506">
      <c r="B506" s="14"/>
      <c r="C506" s="15"/>
      <c r="D506" s="15"/>
      <c r="E506" s="16"/>
      <c r="G506" s="17"/>
      <c r="J506" s="10"/>
    </row>
    <row r="507">
      <c r="B507" s="11"/>
      <c r="C507" s="12"/>
      <c r="D507" s="12"/>
      <c r="E507" s="13"/>
      <c r="G507" s="17"/>
      <c r="J507" s="10"/>
    </row>
    <row r="508">
      <c r="B508" s="14"/>
      <c r="C508" s="15"/>
      <c r="D508" s="15"/>
      <c r="E508" s="16"/>
      <c r="G508" s="17"/>
      <c r="J508" s="10"/>
    </row>
    <row r="509">
      <c r="B509" s="11"/>
      <c r="C509" s="12"/>
      <c r="D509" s="12"/>
      <c r="E509" s="13"/>
      <c r="G509" s="17"/>
      <c r="J509" s="10"/>
    </row>
    <row r="510">
      <c r="B510" s="14"/>
      <c r="C510" s="15"/>
      <c r="D510" s="15"/>
      <c r="E510" s="16"/>
      <c r="G510" s="17"/>
      <c r="J510" s="10"/>
    </row>
    <row r="511">
      <c r="B511" s="11"/>
      <c r="C511" s="12"/>
      <c r="D511" s="12"/>
      <c r="E511" s="13"/>
      <c r="G511" s="17"/>
      <c r="J511" s="10"/>
    </row>
    <row r="512">
      <c r="B512" s="14"/>
      <c r="C512" s="15"/>
      <c r="D512" s="15"/>
      <c r="E512" s="16"/>
      <c r="G512" s="17"/>
      <c r="J512" s="10"/>
    </row>
    <row r="513">
      <c r="B513" s="11"/>
      <c r="C513" s="12"/>
      <c r="D513" s="12"/>
      <c r="E513" s="13"/>
      <c r="G513" s="17"/>
      <c r="J513" s="10"/>
    </row>
    <row r="514">
      <c r="B514" s="14"/>
      <c r="C514" s="15"/>
      <c r="D514" s="15"/>
      <c r="E514" s="16"/>
      <c r="G514" s="17"/>
      <c r="J514" s="10"/>
    </row>
    <row r="515">
      <c r="B515" s="11"/>
      <c r="C515" s="12"/>
      <c r="D515" s="12"/>
      <c r="E515" s="13"/>
      <c r="G515" s="17"/>
      <c r="J515" s="10"/>
    </row>
    <row r="516">
      <c r="B516" s="14"/>
      <c r="C516" s="15"/>
      <c r="D516" s="15"/>
      <c r="E516" s="16"/>
      <c r="G516" s="17"/>
      <c r="J516" s="10"/>
    </row>
    <row r="517">
      <c r="B517" s="11"/>
      <c r="C517" s="12"/>
      <c r="D517" s="12"/>
      <c r="E517" s="13"/>
      <c r="G517" s="17"/>
      <c r="J517" s="10"/>
    </row>
    <row r="518">
      <c r="B518" s="14"/>
      <c r="C518" s="15"/>
      <c r="D518" s="15"/>
      <c r="E518" s="16"/>
      <c r="G518" s="17"/>
      <c r="J518" s="10"/>
    </row>
    <row r="519">
      <c r="B519" s="11"/>
      <c r="C519" s="12"/>
      <c r="D519" s="12"/>
      <c r="E519" s="13"/>
      <c r="G519" s="17"/>
      <c r="J519" s="10"/>
    </row>
    <row r="520">
      <c r="B520" s="14"/>
      <c r="C520" s="15"/>
      <c r="D520" s="15"/>
      <c r="E520" s="16"/>
      <c r="G520" s="17"/>
      <c r="J520" s="10"/>
    </row>
    <row r="521">
      <c r="B521" s="11"/>
      <c r="C521" s="12"/>
      <c r="D521" s="12"/>
      <c r="E521" s="13"/>
      <c r="G521" s="17"/>
      <c r="J521" s="10"/>
    </row>
    <row r="522">
      <c r="B522" s="14"/>
      <c r="C522" s="15"/>
      <c r="D522" s="15"/>
      <c r="E522" s="16"/>
      <c r="G522" s="17"/>
      <c r="J522" s="10"/>
    </row>
    <row r="523">
      <c r="B523" s="11"/>
      <c r="C523" s="12"/>
      <c r="D523" s="12"/>
      <c r="E523" s="13"/>
      <c r="G523" s="17"/>
      <c r="J523" s="10"/>
    </row>
    <row r="524">
      <c r="B524" s="14"/>
      <c r="C524" s="15"/>
      <c r="D524" s="15"/>
      <c r="E524" s="16"/>
      <c r="G524" s="17"/>
      <c r="J524" s="10"/>
    </row>
    <row r="525">
      <c r="B525" s="11"/>
      <c r="C525" s="12"/>
      <c r="D525" s="12"/>
      <c r="E525" s="13"/>
      <c r="G525" s="17"/>
      <c r="J525" s="10"/>
    </row>
    <row r="526">
      <c r="B526" s="14"/>
      <c r="C526" s="15"/>
      <c r="D526" s="15"/>
      <c r="E526" s="16"/>
      <c r="G526" s="17"/>
      <c r="J526" s="10"/>
    </row>
    <row r="527">
      <c r="B527" s="11"/>
      <c r="C527" s="12"/>
      <c r="D527" s="12"/>
      <c r="E527" s="13"/>
      <c r="G527" s="17"/>
      <c r="J527" s="10"/>
    </row>
    <row r="528">
      <c r="B528" s="14"/>
      <c r="C528" s="15"/>
      <c r="D528" s="15"/>
      <c r="E528" s="16"/>
      <c r="G528" s="17"/>
      <c r="J528" s="10"/>
    </row>
    <row r="529">
      <c r="B529" s="11"/>
      <c r="C529" s="12"/>
      <c r="D529" s="12"/>
      <c r="E529" s="13"/>
      <c r="G529" s="17"/>
      <c r="J529" s="10"/>
    </row>
    <row r="530">
      <c r="B530" s="14"/>
      <c r="C530" s="15"/>
      <c r="D530" s="15"/>
      <c r="E530" s="16"/>
      <c r="G530" s="17"/>
      <c r="J530" s="10"/>
    </row>
    <row r="531">
      <c r="B531" s="11"/>
      <c r="C531" s="12"/>
      <c r="D531" s="12"/>
      <c r="E531" s="13"/>
      <c r="G531" s="17"/>
      <c r="J531" s="10"/>
    </row>
    <row r="532">
      <c r="B532" s="14"/>
      <c r="C532" s="15"/>
      <c r="D532" s="15"/>
      <c r="E532" s="16"/>
      <c r="G532" s="17"/>
      <c r="J532" s="10"/>
    </row>
    <row r="533">
      <c r="B533" s="11"/>
      <c r="C533" s="12"/>
      <c r="D533" s="12"/>
      <c r="E533" s="13"/>
      <c r="G533" s="17"/>
      <c r="J533" s="10"/>
    </row>
    <row r="534">
      <c r="B534" s="14"/>
      <c r="C534" s="15"/>
      <c r="D534" s="15"/>
      <c r="E534" s="16"/>
      <c r="G534" s="17"/>
      <c r="J534" s="10"/>
    </row>
    <row r="535">
      <c r="B535" s="11"/>
      <c r="C535" s="12"/>
      <c r="D535" s="12"/>
      <c r="E535" s="13"/>
      <c r="G535" s="17"/>
      <c r="J535" s="10"/>
    </row>
    <row r="536">
      <c r="B536" s="14"/>
      <c r="C536" s="15"/>
      <c r="D536" s="15"/>
      <c r="E536" s="16"/>
      <c r="G536" s="17"/>
      <c r="J536" s="10"/>
    </row>
    <row r="537">
      <c r="B537" s="11"/>
      <c r="C537" s="12"/>
      <c r="D537" s="12"/>
      <c r="E537" s="13"/>
      <c r="G537" s="17"/>
      <c r="J537" s="10"/>
    </row>
    <row r="538">
      <c r="B538" s="14"/>
      <c r="C538" s="15"/>
      <c r="D538" s="15"/>
      <c r="E538" s="16"/>
      <c r="G538" s="17"/>
      <c r="J538" s="10"/>
    </row>
    <row r="539">
      <c r="B539" s="11"/>
      <c r="C539" s="12"/>
      <c r="D539" s="12"/>
      <c r="E539" s="13"/>
      <c r="G539" s="17"/>
      <c r="J539" s="10"/>
    </row>
    <row r="540">
      <c r="B540" s="14"/>
      <c r="C540" s="15"/>
      <c r="D540" s="15"/>
      <c r="E540" s="16"/>
      <c r="G540" s="17"/>
      <c r="J540" s="10"/>
    </row>
    <row r="541">
      <c r="B541" s="11"/>
      <c r="C541" s="12"/>
      <c r="D541" s="12"/>
      <c r="E541" s="13"/>
      <c r="G541" s="17"/>
      <c r="J541" s="10"/>
    </row>
    <row r="542">
      <c r="B542" s="14"/>
      <c r="C542" s="15"/>
      <c r="D542" s="15"/>
      <c r="E542" s="16"/>
      <c r="G542" s="17"/>
      <c r="J542" s="10"/>
    </row>
    <row r="543">
      <c r="B543" s="11"/>
      <c r="C543" s="12"/>
      <c r="D543" s="12"/>
      <c r="E543" s="13"/>
      <c r="G543" s="17"/>
      <c r="J543" s="10"/>
    </row>
    <row r="544">
      <c r="B544" s="14"/>
      <c r="C544" s="15"/>
      <c r="D544" s="15"/>
      <c r="E544" s="16"/>
      <c r="G544" s="17"/>
      <c r="J544" s="10"/>
    </row>
    <row r="545">
      <c r="B545" s="11"/>
      <c r="C545" s="12"/>
      <c r="D545" s="12"/>
      <c r="E545" s="13"/>
      <c r="G545" s="17"/>
      <c r="J545" s="10"/>
    </row>
    <row r="546">
      <c r="B546" s="14"/>
      <c r="C546" s="15"/>
      <c r="D546" s="15"/>
      <c r="E546" s="16"/>
      <c r="G546" s="17"/>
      <c r="J546" s="10"/>
    </row>
    <row r="547">
      <c r="B547" s="11"/>
      <c r="C547" s="12"/>
      <c r="D547" s="12"/>
      <c r="E547" s="13"/>
      <c r="G547" s="17"/>
      <c r="J547" s="10"/>
    </row>
    <row r="548">
      <c r="B548" s="14"/>
      <c r="C548" s="15"/>
      <c r="D548" s="15"/>
      <c r="E548" s="16"/>
      <c r="G548" s="17"/>
      <c r="J548" s="10"/>
    </row>
    <row r="549">
      <c r="B549" s="11"/>
      <c r="C549" s="12"/>
      <c r="D549" s="12"/>
      <c r="E549" s="13"/>
      <c r="G549" s="17"/>
      <c r="J549" s="10"/>
    </row>
    <row r="550">
      <c r="B550" s="14"/>
      <c r="C550" s="15"/>
      <c r="D550" s="15"/>
      <c r="E550" s="16"/>
      <c r="G550" s="17"/>
      <c r="J550" s="10"/>
    </row>
    <row r="551">
      <c r="B551" s="11"/>
      <c r="C551" s="12"/>
      <c r="D551" s="12"/>
      <c r="E551" s="13"/>
      <c r="G551" s="17"/>
      <c r="J551" s="10"/>
    </row>
    <row r="552">
      <c r="B552" s="14"/>
      <c r="C552" s="15"/>
      <c r="D552" s="15"/>
      <c r="E552" s="16"/>
      <c r="G552" s="17"/>
      <c r="J552" s="10"/>
    </row>
    <row r="553">
      <c r="B553" s="11"/>
      <c r="C553" s="12"/>
      <c r="D553" s="12"/>
      <c r="E553" s="13"/>
      <c r="G553" s="17"/>
      <c r="J553" s="10"/>
    </row>
    <row r="554">
      <c r="B554" s="14"/>
      <c r="C554" s="15"/>
      <c r="D554" s="15"/>
      <c r="E554" s="16"/>
      <c r="G554" s="17"/>
      <c r="J554" s="10"/>
    </row>
    <row r="555">
      <c r="B555" s="11"/>
      <c r="C555" s="12"/>
      <c r="D555" s="12"/>
      <c r="E555" s="13"/>
      <c r="G555" s="17"/>
      <c r="J555" s="10"/>
    </row>
    <row r="556">
      <c r="B556" s="14"/>
      <c r="C556" s="15"/>
      <c r="D556" s="15"/>
      <c r="E556" s="16"/>
      <c r="G556" s="17"/>
      <c r="J556" s="10"/>
    </row>
    <row r="557">
      <c r="B557" s="11"/>
      <c r="C557" s="12"/>
      <c r="D557" s="12"/>
      <c r="E557" s="13"/>
      <c r="G557" s="17"/>
      <c r="J557" s="10"/>
    </row>
    <row r="558">
      <c r="B558" s="14"/>
      <c r="C558" s="15"/>
      <c r="D558" s="15"/>
      <c r="E558" s="16"/>
      <c r="G558" s="17"/>
      <c r="J558" s="10"/>
    </row>
    <row r="559">
      <c r="B559" s="11"/>
      <c r="C559" s="12"/>
      <c r="D559" s="12"/>
      <c r="E559" s="13"/>
      <c r="G559" s="17"/>
      <c r="J559" s="10"/>
    </row>
    <row r="560">
      <c r="B560" s="14"/>
      <c r="C560" s="15"/>
      <c r="D560" s="15"/>
      <c r="E560" s="16"/>
      <c r="G560" s="17"/>
      <c r="J560" s="10"/>
    </row>
    <row r="561">
      <c r="B561" s="11"/>
      <c r="C561" s="12"/>
      <c r="D561" s="12"/>
      <c r="E561" s="13"/>
      <c r="G561" s="17"/>
      <c r="J561" s="10"/>
    </row>
    <row r="562">
      <c r="B562" s="14"/>
      <c r="C562" s="15"/>
      <c r="D562" s="15"/>
      <c r="E562" s="16"/>
      <c r="G562" s="17"/>
      <c r="J562" s="10"/>
    </row>
    <row r="563">
      <c r="B563" s="11"/>
      <c r="C563" s="12"/>
      <c r="D563" s="12"/>
      <c r="E563" s="13"/>
      <c r="G563" s="17"/>
      <c r="J563" s="10"/>
    </row>
    <row r="564">
      <c r="B564" s="14"/>
      <c r="C564" s="15"/>
      <c r="D564" s="15"/>
      <c r="E564" s="16"/>
      <c r="G564" s="17"/>
      <c r="J564" s="10"/>
    </row>
    <row r="565">
      <c r="B565" s="11"/>
      <c r="C565" s="12"/>
      <c r="D565" s="12"/>
      <c r="E565" s="13"/>
      <c r="G565" s="17"/>
      <c r="J565" s="10"/>
    </row>
    <row r="566">
      <c r="B566" s="14"/>
      <c r="C566" s="15"/>
      <c r="D566" s="15"/>
      <c r="E566" s="16"/>
      <c r="G566" s="17"/>
      <c r="J566" s="10"/>
    </row>
    <row r="567">
      <c r="B567" s="11"/>
      <c r="C567" s="12"/>
      <c r="D567" s="12"/>
      <c r="E567" s="13"/>
      <c r="G567" s="17"/>
      <c r="J567" s="10"/>
    </row>
    <row r="568">
      <c r="B568" s="14"/>
      <c r="C568" s="15"/>
      <c r="D568" s="15"/>
      <c r="E568" s="16"/>
      <c r="G568" s="17"/>
      <c r="J568" s="10"/>
    </row>
    <row r="569">
      <c r="B569" s="11"/>
      <c r="C569" s="12"/>
      <c r="D569" s="12"/>
      <c r="E569" s="13"/>
      <c r="G569" s="17"/>
      <c r="J569" s="10"/>
    </row>
    <row r="570">
      <c r="B570" s="14"/>
      <c r="C570" s="15"/>
      <c r="D570" s="15"/>
      <c r="E570" s="16"/>
      <c r="G570" s="17"/>
      <c r="J570" s="10"/>
    </row>
    <row r="571">
      <c r="B571" s="11"/>
      <c r="C571" s="12"/>
      <c r="D571" s="12"/>
      <c r="E571" s="13"/>
      <c r="G571" s="17"/>
      <c r="J571" s="10"/>
    </row>
    <row r="572">
      <c r="B572" s="14"/>
      <c r="C572" s="15"/>
      <c r="D572" s="15"/>
      <c r="E572" s="16"/>
      <c r="G572" s="17"/>
      <c r="J572" s="10"/>
    </row>
    <row r="573">
      <c r="B573" s="11"/>
      <c r="C573" s="12"/>
      <c r="D573" s="12"/>
      <c r="E573" s="13"/>
      <c r="G573" s="17"/>
      <c r="J573" s="10"/>
    </row>
    <row r="574">
      <c r="B574" s="14"/>
      <c r="C574" s="15"/>
      <c r="D574" s="15"/>
      <c r="E574" s="16"/>
      <c r="G574" s="17"/>
      <c r="J574" s="10"/>
    </row>
    <row r="575">
      <c r="B575" s="11"/>
      <c r="C575" s="12"/>
      <c r="D575" s="12"/>
      <c r="E575" s="13"/>
      <c r="G575" s="17"/>
      <c r="J575" s="10"/>
    </row>
    <row r="576">
      <c r="B576" s="14"/>
      <c r="C576" s="15"/>
      <c r="D576" s="15"/>
      <c r="E576" s="16"/>
      <c r="G576" s="17"/>
      <c r="J576" s="10"/>
    </row>
    <row r="577">
      <c r="B577" s="11"/>
      <c r="C577" s="12"/>
      <c r="D577" s="12"/>
      <c r="E577" s="13"/>
      <c r="G577" s="17"/>
      <c r="J577" s="10"/>
    </row>
    <row r="578">
      <c r="B578" s="14"/>
      <c r="C578" s="15"/>
      <c r="D578" s="15"/>
      <c r="E578" s="16"/>
      <c r="G578" s="17"/>
      <c r="J578" s="10"/>
    </row>
    <row r="579">
      <c r="B579" s="11"/>
      <c r="C579" s="12"/>
      <c r="D579" s="12"/>
      <c r="E579" s="13"/>
      <c r="G579" s="17"/>
      <c r="J579" s="10"/>
    </row>
    <row r="580">
      <c r="B580" s="14"/>
      <c r="C580" s="15"/>
      <c r="D580" s="15"/>
      <c r="E580" s="16"/>
      <c r="G580" s="17"/>
      <c r="J580" s="10"/>
    </row>
    <row r="581">
      <c r="B581" s="11"/>
      <c r="C581" s="12"/>
      <c r="D581" s="12"/>
      <c r="E581" s="13"/>
      <c r="G581" s="17"/>
      <c r="J581" s="10"/>
    </row>
    <row r="582">
      <c r="B582" s="14"/>
      <c r="C582" s="15"/>
      <c r="D582" s="15"/>
      <c r="E582" s="16"/>
      <c r="G582" s="17"/>
      <c r="J582" s="10"/>
    </row>
    <row r="583">
      <c r="B583" s="11"/>
      <c r="C583" s="12"/>
      <c r="D583" s="12"/>
      <c r="E583" s="13"/>
      <c r="G583" s="17"/>
      <c r="J583" s="10"/>
    </row>
    <row r="584">
      <c r="B584" s="14"/>
      <c r="C584" s="15"/>
      <c r="D584" s="15"/>
      <c r="E584" s="16"/>
      <c r="G584" s="17"/>
      <c r="J584" s="10"/>
    </row>
    <row r="585">
      <c r="B585" s="11"/>
      <c r="C585" s="12"/>
      <c r="D585" s="12"/>
      <c r="E585" s="13"/>
      <c r="G585" s="17"/>
      <c r="J585" s="10"/>
    </row>
    <row r="586">
      <c r="B586" s="14"/>
      <c r="C586" s="15"/>
      <c r="D586" s="15"/>
      <c r="E586" s="16"/>
      <c r="G586" s="17"/>
      <c r="J586" s="10"/>
    </row>
    <row r="587">
      <c r="B587" s="11"/>
      <c r="C587" s="12"/>
      <c r="D587" s="12"/>
      <c r="E587" s="13"/>
      <c r="G587" s="17"/>
      <c r="J587" s="10"/>
    </row>
    <row r="588">
      <c r="B588" s="14"/>
      <c r="C588" s="15"/>
      <c r="D588" s="15"/>
      <c r="E588" s="16"/>
      <c r="G588" s="17"/>
      <c r="J588" s="10"/>
    </row>
    <row r="589">
      <c r="B589" s="11"/>
      <c r="C589" s="12"/>
      <c r="D589" s="12"/>
      <c r="E589" s="13"/>
      <c r="G589" s="17"/>
      <c r="J589" s="10"/>
    </row>
    <row r="590">
      <c r="B590" s="14"/>
      <c r="C590" s="15"/>
      <c r="D590" s="15"/>
      <c r="E590" s="16"/>
      <c r="G590" s="17"/>
      <c r="J590" s="10"/>
    </row>
    <row r="591">
      <c r="B591" s="11"/>
      <c r="C591" s="12"/>
      <c r="D591" s="12"/>
      <c r="E591" s="13"/>
      <c r="G591" s="17"/>
      <c r="J591" s="10"/>
    </row>
    <row r="592">
      <c r="B592" s="14"/>
      <c r="C592" s="15"/>
      <c r="D592" s="15"/>
      <c r="E592" s="16"/>
      <c r="G592" s="17"/>
      <c r="J592" s="10"/>
    </row>
    <row r="593">
      <c r="B593" s="11"/>
      <c r="C593" s="12"/>
      <c r="D593" s="12"/>
      <c r="E593" s="13"/>
      <c r="G593" s="17"/>
      <c r="J593" s="10"/>
    </row>
    <row r="594">
      <c r="B594" s="14"/>
      <c r="C594" s="15"/>
      <c r="D594" s="15"/>
      <c r="E594" s="16"/>
      <c r="G594" s="17"/>
      <c r="J594" s="10"/>
    </row>
    <row r="595">
      <c r="B595" s="11"/>
      <c r="C595" s="12"/>
      <c r="D595" s="12"/>
      <c r="E595" s="13"/>
      <c r="G595" s="17"/>
      <c r="J595" s="10"/>
    </row>
    <row r="596">
      <c r="B596" s="14"/>
      <c r="C596" s="15"/>
      <c r="D596" s="15"/>
      <c r="E596" s="16"/>
      <c r="G596" s="17"/>
      <c r="J596" s="10"/>
    </row>
    <row r="597">
      <c r="B597" s="11"/>
      <c r="C597" s="12"/>
      <c r="D597" s="12"/>
      <c r="E597" s="13"/>
      <c r="G597" s="17"/>
      <c r="J597" s="10"/>
    </row>
    <row r="598">
      <c r="B598" s="14"/>
      <c r="C598" s="15"/>
      <c r="D598" s="15"/>
      <c r="E598" s="16"/>
      <c r="G598" s="17"/>
      <c r="J598" s="10"/>
    </row>
    <row r="599">
      <c r="B599" s="11"/>
      <c r="C599" s="12"/>
      <c r="D599" s="12"/>
      <c r="E599" s="13"/>
      <c r="G599" s="17"/>
      <c r="J599" s="10"/>
    </row>
    <row r="600">
      <c r="B600" s="14"/>
      <c r="C600" s="15"/>
      <c r="D600" s="15"/>
      <c r="E600" s="16"/>
      <c r="G600" s="17"/>
      <c r="J600" s="10"/>
    </row>
    <row r="601">
      <c r="B601" s="11"/>
      <c r="C601" s="12"/>
      <c r="D601" s="12"/>
      <c r="E601" s="13"/>
      <c r="G601" s="17"/>
      <c r="J601" s="10"/>
    </row>
    <row r="602">
      <c r="B602" s="14"/>
      <c r="C602" s="15"/>
      <c r="D602" s="15"/>
      <c r="E602" s="16"/>
      <c r="G602" s="17"/>
      <c r="J602" s="10"/>
    </row>
    <row r="603">
      <c r="B603" s="11"/>
      <c r="C603" s="12"/>
      <c r="D603" s="12"/>
      <c r="E603" s="13"/>
      <c r="G603" s="17"/>
      <c r="J603" s="10"/>
    </row>
    <row r="604">
      <c r="B604" s="14"/>
      <c r="C604" s="15"/>
      <c r="D604" s="15"/>
      <c r="E604" s="16"/>
      <c r="G604" s="17"/>
      <c r="J604" s="10"/>
    </row>
    <row r="605">
      <c r="B605" s="11"/>
      <c r="C605" s="12"/>
      <c r="D605" s="12"/>
      <c r="E605" s="13"/>
      <c r="G605" s="17"/>
      <c r="J605" s="10"/>
    </row>
    <row r="606">
      <c r="B606" s="14"/>
      <c r="C606" s="15"/>
      <c r="D606" s="15"/>
      <c r="E606" s="16"/>
      <c r="G606" s="17"/>
      <c r="J606" s="10"/>
    </row>
    <row r="607">
      <c r="B607" s="11"/>
      <c r="C607" s="12"/>
      <c r="D607" s="12"/>
      <c r="E607" s="13"/>
      <c r="G607" s="17"/>
      <c r="J607" s="10"/>
    </row>
    <row r="608">
      <c r="B608" s="14"/>
      <c r="C608" s="15"/>
      <c r="D608" s="15"/>
      <c r="E608" s="16"/>
      <c r="G608" s="17"/>
      <c r="J608" s="10"/>
    </row>
    <row r="609">
      <c r="B609" s="11"/>
      <c r="C609" s="12"/>
      <c r="D609" s="12"/>
      <c r="E609" s="13"/>
      <c r="G609" s="17"/>
      <c r="J609" s="10"/>
    </row>
    <row r="610">
      <c r="B610" s="14"/>
      <c r="C610" s="15"/>
      <c r="D610" s="15"/>
      <c r="E610" s="16"/>
      <c r="G610" s="17"/>
      <c r="J610" s="10"/>
    </row>
    <row r="611">
      <c r="B611" s="11"/>
      <c r="C611" s="12"/>
      <c r="D611" s="12"/>
      <c r="E611" s="13"/>
      <c r="G611" s="17"/>
      <c r="J611" s="10"/>
    </row>
    <row r="612">
      <c r="B612" s="14"/>
      <c r="C612" s="15"/>
      <c r="D612" s="15"/>
      <c r="E612" s="16"/>
      <c r="G612" s="17"/>
      <c r="J612" s="10"/>
    </row>
    <row r="613">
      <c r="B613" s="11"/>
      <c r="C613" s="12"/>
      <c r="D613" s="12"/>
      <c r="E613" s="13"/>
      <c r="G613" s="17"/>
      <c r="J613" s="10"/>
    </row>
    <row r="614">
      <c r="B614" s="14"/>
      <c r="C614" s="15"/>
      <c r="D614" s="15"/>
      <c r="E614" s="16"/>
      <c r="G614" s="17"/>
      <c r="J614" s="10"/>
    </row>
    <row r="615">
      <c r="B615" s="11"/>
      <c r="C615" s="12"/>
      <c r="D615" s="12"/>
      <c r="E615" s="13"/>
      <c r="G615" s="17"/>
      <c r="J615" s="10"/>
    </row>
    <row r="616">
      <c r="B616" s="14"/>
      <c r="C616" s="15"/>
      <c r="D616" s="15"/>
      <c r="E616" s="16"/>
      <c r="G616" s="17"/>
      <c r="J616" s="10"/>
    </row>
    <row r="617">
      <c r="B617" s="11"/>
      <c r="C617" s="12"/>
      <c r="D617" s="12"/>
      <c r="E617" s="13"/>
      <c r="G617" s="17"/>
      <c r="J617" s="10"/>
    </row>
    <row r="618">
      <c r="B618" s="14"/>
      <c r="C618" s="15"/>
      <c r="D618" s="15"/>
      <c r="E618" s="16"/>
      <c r="G618" s="17"/>
      <c r="J618" s="10"/>
    </row>
    <row r="619">
      <c r="B619" s="11"/>
      <c r="C619" s="12"/>
      <c r="D619" s="12"/>
      <c r="E619" s="13"/>
      <c r="G619" s="17"/>
      <c r="J619" s="10"/>
    </row>
    <row r="620">
      <c r="B620" s="14"/>
      <c r="C620" s="15"/>
      <c r="D620" s="15"/>
      <c r="E620" s="16"/>
      <c r="G620" s="17"/>
      <c r="J620" s="10"/>
    </row>
    <row r="621">
      <c r="B621" s="11"/>
      <c r="C621" s="12"/>
      <c r="D621" s="12"/>
      <c r="E621" s="13"/>
      <c r="G621" s="17"/>
      <c r="J621" s="10"/>
    </row>
    <row r="622">
      <c r="B622" s="14"/>
      <c r="C622" s="15"/>
      <c r="D622" s="15"/>
      <c r="E622" s="16"/>
      <c r="G622" s="17"/>
      <c r="J622" s="10"/>
    </row>
    <row r="623">
      <c r="B623" s="11"/>
      <c r="C623" s="12"/>
      <c r="D623" s="12"/>
      <c r="E623" s="13"/>
      <c r="G623" s="17"/>
      <c r="J623" s="10"/>
    </row>
    <row r="624">
      <c r="B624" s="14"/>
      <c r="C624" s="15"/>
      <c r="D624" s="15"/>
      <c r="E624" s="16"/>
      <c r="G624" s="17"/>
      <c r="J624" s="10"/>
    </row>
    <row r="625">
      <c r="B625" s="11"/>
      <c r="C625" s="12"/>
      <c r="D625" s="12"/>
      <c r="E625" s="13"/>
      <c r="G625" s="17"/>
      <c r="J625" s="10"/>
    </row>
    <row r="626">
      <c r="B626" s="14"/>
      <c r="C626" s="15"/>
      <c r="D626" s="15"/>
      <c r="E626" s="16"/>
      <c r="G626" s="17"/>
      <c r="J626" s="10"/>
    </row>
    <row r="627">
      <c r="B627" s="11"/>
      <c r="C627" s="12"/>
      <c r="D627" s="12"/>
      <c r="E627" s="13"/>
      <c r="G627" s="17"/>
      <c r="J627" s="10"/>
    </row>
    <row r="628">
      <c r="B628" s="14"/>
      <c r="C628" s="15"/>
      <c r="D628" s="15"/>
      <c r="E628" s="16"/>
      <c r="G628" s="17"/>
      <c r="J628" s="10"/>
    </row>
    <row r="629">
      <c r="B629" s="11"/>
      <c r="C629" s="12"/>
      <c r="D629" s="12"/>
      <c r="E629" s="13"/>
      <c r="G629" s="17"/>
      <c r="J629" s="10"/>
    </row>
    <row r="630">
      <c r="B630" s="14"/>
      <c r="C630" s="15"/>
      <c r="D630" s="15"/>
      <c r="E630" s="16"/>
      <c r="G630" s="17"/>
      <c r="J630" s="10"/>
    </row>
    <row r="631">
      <c r="B631" s="11"/>
      <c r="C631" s="12"/>
      <c r="D631" s="12"/>
      <c r="E631" s="13"/>
      <c r="G631" s="17"/>
      <c r="J631" s="10"/>
    </row>
    <row r="632">
      <c r="B632" s="14"/>
      <c r="C632" s="15"/>
      <c r="D632" s="15"/>
      <c r="E632" s="16"/>
      <c r="G632" s="17"/>
      <c r="J632" s="10"/>
    </row>
    <row r="633">
      <c r="B633" s="11"/>
      <c r="C633" s="12"/>
      <c r="D633" s="12"/>
      <c r="E633" s="13"/>
      <c r="G633" s="17"/>
      <c r="J633" s="10"/>
    </row>
    <row r="634">
      <c r="B634" s="14"/>
      <c r="C634" s="15"/>
      <c r="D634" s="15"/>
      <c r="E634" s="16"/>
      <c r="G634" s="17"/>
      <c r="J634" s="10"/>
    </row>
    <row r="635">
      <c r="B635" s="11"/>
      <c r="C635" s="12"/>
      <c r="D635" s="12"/>
      <c r="E635" s="13"/>
      <c r="G635" s="17"/>
      <c r="J635" s="10"/>
    </row>
    <row r="636">
      <c r="B636" s="14"/>
      <c r="C636" s="15"/>
      <c r="D636" s="15"/>
      <c r="E636" s="16"/>
      <c r="G636" s="17"/>
      <c r="J636" s="10"/>
    </row>
    <row r="637">
      <c r="B637" s="11"/>
      <c r="C637" s="12"/>
      <c r="D637" s="12"/>
      <c r="E637" s="13"/>
      <c r="G637" s="17"/>
      <c r="J637" s="10"/>
    </row>
    <row r="638">
      <c r="B638" s="14"/>
      <c r="C638" s="15"/>
      <c r="D638" s="15"/>
      <c r="E638" s="16"/>
      <c r="G638" s="17"/>
      <c r="J638" s="10"/>
    </row>
    <row r="639">
      <c r="B639" s="11"/>
      <c r="C639" s="12"/>
      <c r="D639" s="12"/>
      <c r="E639" s="13"/>
      <c r="G639" s="17"/>
      <c r="J639" s="10"/>
    </row>
    <row r="640">
      <c r="B640" s="14"/>
      <c r="C640" s="15"/>
      <c r="D640" s="15"/>
      <c r="E640" s="16"/>
      <c r="G640" s="17"/>
      <c r="J640" s="10"/>
    </row>
    <row r="641">
      <c r="B641" s="11"/>
      <c r="C641" s="12"/>
      <c r="D641" s="12"/>
      <c r="E641" s="13"/>
      <c r="G641" s="17"/>
      <c r="J641" s="10"/>
    </row>
    <row r="642">
      <c r="B642" s="14"/>
      <c r="C642" s="15"/>
      <c r="D642" s="15"/>
      <c r="E642" s="16"/>
      <c r="G642" s="17"/>
      <c r="J642" s="10"/>
    </row>
    <row r="643">
      <c r="B643" s="11"/>
      <c r="C643" s="12"/>
      <c r="D643" s="12"/>
      <c r="E643" s="13"/>
      <c r="G643" s="17"/>
      <c r="J643" s="10"/>
    </row>
    <row r="644">
      <c r="B644" s="14"/>
      <c r="C644" s="15"/>
      <c r="D644" s="15"/>
      <c r="E644" s="16"/>
      <c r="G644" s="17"/>
      <c r="J644" s="10"/>
    </row>
    <row r="645">
      <c r="B645" s="11"/>
      <c r="C645" s="12"/>
      <c r="D645" s="12"/>
      <c r="E645" s="13"/>
      <c r="G645" s="17"/>
      <c r="J645" s="10"/>
    </row>
    <row r="646">
      <c r="B646" s="14"/>
      <c r="C646" s="15"/>
      <c r="D646" s="15"/>
      <c r="E646" s="16"/>
      <c r="G646" s="17"/>
      <c r="J646" s="10"/>
    </row>
    <row r="647">
      <c r="B647" s="11"/>
      <c r="C647" s="12"/>
      <c r="D647" s="12"/>
      <c r="E647" s="13"/>
      <c r="G647" s="17"/>
      <c r="J647" s="10"/>
    </row>
    <row r="648">
      <c r="B648" s="14"/>
      <c r="C648" s="15"/>
      <c r="D648" s="15"/>
      <c r="E648" s="16"/>
      <c r="G648" s="17"/>
      <c r="J648" s="10"/>
    </row>
    <row r="649">
      <c r="B649" s="11"/>
      <c r="C649" s="12"/>
      <c r="D649" s="12"/>
      <c r="E649" s="13"/>
      <c r="G649" s="17"/>
      <c r="J649" s="10"/>
    </row>
    <row r="650">
      <c r="B650" s="14"/>
      <c r="C650" s="15"/>
      <c r="D650" s="15"/>
      <c r="E650" s="16"/>
      <c r="G650" s="17"/>
      <c r="J650" s="10"/>
    </row>
    <row r="651">
      <c r="B651" s="11"/>
      <c r="C651" s="12"/>
      <c r="D651" s="12"/>
      <c r="E651" s="13"/>
      <c r="G651" s="17"/>
      <c r="J651" s="10"/>
    </row>
    <row r="652">
      <c r="B652" s="14"/>
      <c r="C652" s="15"/>
      <c r="D652" s="15"/>
      <c r="E652" s="16"/>
      <c r="G652" s="17"/>
      <c r="J652" s="10"/>
    </row>
    <row r="653">
      <c r="B653" s="11"/>
      <c r="C653" s="12"/>
      <c r="D653" s="12"/>
      <c r="E653" s="13"/>
      <c r="G653" s="17"/>
      <c r="J653" s="10"/>
    </row>
    <row r="654">
      <c r="B654" s="14"/>
      <c r="C654" s="15"/>
      <c r="D654" s="15"/>
      <c r="E654" s="16"/>
      <c r="G654" s="17"/>
      <c r="J654" s="10"/>
    </row>
    <row r="655">
      <c r="B655" s="11"/>
      <c r="C655" s="12"/>
      <c r="D655" s="12"/>
      <c r="E655" s="13"/>
      <c r="G655" s="17"/>
      <c r="J655" s="10"/>
    </row>
    <row r="656">
      <c r="B656" s="14"/>
      <c r="C656" s="15"/>
      <c r="D656" s="15"/>
      <c r="E656" s="16"/>
      <c r="G656" s="17"/>
      <c r="J656" s="10"/>
    </row>
    <row r="657">
      <c r="B657" s="11"/>
      <c r="C657" s="12"/>
      <c r="D657" s="12"/>
      <c r="E657" s="13"/>
      <c r="G657" s="17"/>
      <c r="J657" s="10"/>
    </row>
    <row r="658">
      <c r="B658" s="14"/>
      <c r="C658" s="15"/>
      <c r="D658" s="15"/>
      <c r="E658" s="16"/>
      <c r="G658" s="17"/>
      <c r="J658" s="10"/>
    </row>
    <row r="659">
      <c r="B659" s="11"/>
      <c r="C659" s="12"/>
      <c r="D659" s="12"/>
      <c r="E659" s="13"/>
      <c r="G659" s="17"/>
      <c r="J659" s="10"/>
    </row>
    <row r="660">
      <c r="B660" s="14"/>
      <c r="C660" s="15"/>
      <c r="D660" s="15"/>
      <c r="E660" s="16"/>
      <c r="G660" s="17"/>
      <c r="J660" s="10"/>
    </row>
    <row r="661">
      <c r="B661" s="11"/>
      <c r="C661" s="12"/>
      <c r="D661" s="12"/>
      <c r="E661" s="13"/>
      <c r="G661" s="17"/>
      <c r="J661" s="10"/>
    </row>
    <row r="662">
      <c r="B662" s="14"/>
      <c r="C662" s="15"/>
      <c r="D662" s="15"/>
      <c r="E662" s="16"/>
      <c r="G662" s="17"/>
      <c r="J662" s="10"/>
    </row>
    <row r="663">
      <c r="B663" s="11"/>
      <c r="C663" s="12"/>
      <c r="D663" s="12"/>
      <c r="E663" s="13"/>
      <c r="G663" s="17"/>
      <c r="J663" s="10"/>
    </row>
    <row r="664">
      <c r="B664" s="14"/>
      <c r="C664" s="15"/>
      <c r="D664" s="15"/>
      <c r="E664" s="16"/>
      <c r="G664" s="17"/>
      <c r="J664" s="10"/>
    </row>
    <row r="665">
      <c r="B665" s="11"/>
      <c r="C665" s="12"/>
      <c r="D665" s="12"/>
      <c r="E665" s="13"/>
      <c r="G665" s="17"/>
      <c r="J665" s="10"/>
    </row>
    <row r="666">
      <c r="B666" s="14"/>
      <c r="C666" s="15"/>
      <c r="D666" s="15"/>
      <c r="E666" s="16"/>
      <c r="G666" s="17"/>
      <c r="J666" s="10"/>
    </row>
    <row r="667">
      <c r="B667" s="11"/>
      <c r="C667" s="12"/>
      <c r="D667" s="12"/>
      <c r="E667" s="13"/>
      <c r="G667" s="17"/>
      <c r="J667" s="10"/>
    </row>
    <row r="668">
      <c r="B668" s="14"/>
      <c r="C668" s="15"/>
      <c r="D668" s="15"/>
      <c r="E668" s="16"/>
      <c r="G668" s="17"/>
      <c r="J668" s="10"/>
    </row>
    <row r="669">
      <c r="B669" s="11"/>
      <c r="C669" s="12"/>
      <c r="D669" s="12"/>
      <c r="E669" s="13"/>
      <c r="G669" s="17"/>
      <c r="J669" s="10"/>
    </row>
    <row r="670">
      <c r="B670" s="14"/>
      <c r="C670" s="15"/>
      <c r="D670" s="15"/>
      <c r="E670" s="16"/>
      <c r="G670" s="17"/>
      <c r="J670" s="10"/>
    </row>
    <row r="671">
      <c r="B671" s="11"/>
      <c r="C671" s="12"/>
      <c r="D671" s="12"/>
      <c r="E671" s="13"/>
      <c r="G671" s="17"/>
      <c r="J671" s="10"/>
    </row>
    <row r="672">
      <c r="B672" s="14"/>
      <c r="C672" s="15"/>
      <c r="D672" s="15"/>
      <c r="E672" s="16"/>
      <c r="G672" s="17"/>
      <c r="J672" s="10"/>
    </row>
    <row r="673">
      <c r="B673" s="11"/>
      <c r="C673" s="12"/>
      <c r="D673" s="12"/>
      <c r="E673" s="13"/>
      <c r="G673" s="17"/>
      <c r="J673" s="10"/>
    </row>
    <row r="674">
      <c r="B674" s="14"/>
      <c r="C674" s="15"/>
      <c r="D674" s="15"/>
      <c r="E674" s="16"/>
      <c r="G674" s="17"/>
      <c r="J674" s="10"/>
    </row>
    <row r="675">
      <c r="B675" s="11"/>
      <c r="C675" s="12"/>
      <c r="D675" s="12"/>
      <c r="E675" s="13"/>
      <c r="G675" s="17"/>
      <c r="J675" s="10"/>
    </row>
    <row r="676">
      <c r="B676" s="14"/>
      <c r="C676" s="15"/>
      <c r="D676" s="15"/>
      <c r="E676" s="16"/>
      <c r="G676" s="17"/>
      <c r="J676" s="10"/>
    </row>
    <row r="677">
      <c r="B677" s="11"/>
      <c r="C677" s="12"/>
      <c r="D677" s="12"/>
      <c r="E677" s="13"/>
      <c r="G677" s="17"/>
      <c r="J677" s="10"/>
    </row>
    <row r="678">
      <c r="B678" s="14"/>
      <c r="C678" s="15"/>
      <c r="D678" s="15"/>
      <c r="E678" s="16"/>
      <c r="G678" s="17"/>
      <c r="J678" s="10"/>
    </row>
    <row r="679">
      <c r="B679" s="11"/>
      <c r="C679" s="12"/>
      <c r="D679" s="12"/>
      <c r="E679" s="13"/>
      <c r="G679" s="17"/>
      <c r="J679" s="10"/>
    </row>
    <row r="680">
      <c r="B680" s="14"/>
      <c r="C680" s="15"/>
      <c r="D680" s="15"/>
      <c r="E680" s="16"/>
      <c r="G680" s="17"/>
      <c r="J680" s="10"/>
    </row>
    <row r="681">
      <c r="B681" s="11"/>
      <c r="C681" s="12"/>
      <c r="D681" s="12"/>
      <c r="E681" s="13"/>
      <c r="G681" s="17"/>
      <c r="J681" s="10"/>
    </row>
    <row r="682">
      <c r="B682" s="14"/>
      <c r="C682" s="15"/>
      <c r="D682" s="15"/>
      <c r="E682" s="16"/>
      <c r="G682" s="17"/>
      <c r="J682" s="10"/>
    </row>
    <row r="683">
      <c r="B683" s="11"/>
      <c r="C683" s="12"/>
      <c r="D683" s="12"/>
      <c r="E683" s="13"/>
      <c r="G683" s="17"/>
      <c r="J683" s="10"/>
    </row>
    <row r="684">
      <c r="B684" s="14"/>
      <c r="C684" s="15"/>
      <c r="D684" s="15"/>
      <c r="E684" s="16"/>
      <c r="G684" s="17"/>
      <c r="J684" s="10"/>
    </row>
    <row r="685">
      <c r="B685" s="11"/>
      <c r="C685" s="12"/>
      <c r="D685" s="12"/>
      <c r="E685" s="13"/>
      <c r="G685" s="17"/>
      <c r="J685" s="10"/>
    </row>
    <row r="686">
      <c r="B686" s="14"/>
      <c r="C686" s="15"/>
      <c r="D686" s="15"/>
      <c r="E686" s="16"/>
      <c r="G686" s="17"/>
      <c r="J686" s="10"/>
    </row>
    <row r="687">
      <c r="B687" s="11"/>
      <c r="C687" s="12"/>
      <c r="D687" s="12"/>
      <c r="E687" s="13"/>
      <c r="G687" s="17"/>
      <c r="J687" s="10"/>
    </row>
    <row r="688">
      <c r="B688" s="14"/>
      <c r="C688" s="15"/>
      <c r="D688" s="15"/>
      <c r="E688" s="16"/>
      <c r="G688" s="17"/>
      <c r="J688" s="10"/>
    </row>
    <row r="689">
      <c r="B689" s="11"/>
      <c r="C689" s="12"/>
      <c r="D689" s="12"/>
      <c r="E689" s="13"/>
      <c r="G689" s="17"/>
      <c r="J689" s="10"/>
    </row>
    <row r="690">
      <c r="B690" s="14"/>
      <c r="C690" s="15"/>
      <c r="D690" s="15"/>
      <c r="E690" s="16"/>
      <c r="G690" s="17"/>
      <c r="J690" s="10"/>
    </row>
    <row r="691">
      <c r="B691" s="11"/>
      <c r="C691" s="12"/>
      <c r="D691" s="12"/>
      <c r="E691" s="13"/>
      <c r="G691" s="17"/>
      <c r="J691" s="10"/>
    </row>
    <row r="692">
      <c r="B692" s="14"/>
      <c r="C692" s="15"/>
      <c r="D692" s="15"/>
      <c r="E692" s="16"/>
      <c r="G692" s="17"/>
      <c r="J692" s="10"/>
    </row>
    <row r="693">
      <c r="B693" s="11"/>
      <c r="C693" s="12"/>
      <c r="D693" s="12"/>
      <c r="E693" s="13"/>
      <c r="G693" s="17"/>
      <c r="J693" s="10"/>
    </row>
    <row r="694">
      <c r="B694" s="14"/>
      <c r="C694" s="15"/>
      <c r="D694" s="15"/>
      <c r="E694" s="16"/>
      <c r="G694" s="17"/>
      <c r="J694" s="10"/>
    </row>
    <row r="695">
      <c r="B695" s="11"/>
      <c r="C695" s="12"/>
      <c r="D695" s="12"/>
      <c r="E695" s="13"/>
      <c r="G695" s="17"/>
      <c r="J695" s="10"/>
    </row>
    <row r="696">
      <c r="B696" s="14"/>
      <c r="C696" s="15"/>
      <c r="D696" s="15"/>
      <c r="E696" s="16"/>
      <c r="G696" s="17"/>
      <c r="J696" s="10"/>
    </row>
    <row r="697">
      <c r="B697" s="11"/>
      <c r="C697" s="12"/>
      <c r="D697" s="12"/>
      <c r="E697" s="13"/>
      <c r="G697" s="17"/>
      <c r="J697" s="10"/>
    </row>
    <row r="698">
      <c r="B698" s="14"/>
      <c r="C698" s="15"/>
      <c r="D698" s="15"/>
      <c r="E698" s="16"/>
      <c r="G698" s="17"/>
      <c r="J698" s="10"/>
    </row>
    <row r="699">
      <c r="B699" s="11"/>
      <c r="C699" s="12"/>
      <c r="D699" s="12"/>
      <c r="E699" s="13"/>
      <c r="G699" s="17"/>
      <c r="J699" s="10"/>
    </row>
    <row r="700">
      <c r="B700" s="14"/>
      <c r="C700" s="15"/>
      <c r="D700" s="15"/>
      <c r="E700" s="16"/>
      <c r="G700" s="17"/>
      <c r="J700" s="10"/>
    </row>
    <row r="701">
      <c r="B701" s="11"/>
      <c r="C701" s="12"/>
      <c r="D701" s="12"/>
      <c r="E701" s="13"/>
      <c r="G701" s="17"/>
      <c r="J701" s="10"/>
    </row>
    <row r="702">
      <c r="B702" s="14"/>
      <c r="C702" s="15"/>
      <c r="D702" s="15"/>
      <c r="E702" s="16"/>
      <c r="G702" s="17"/>
      <c r="J702" s="10"/>
    </row>
    <row r="703">
      <c r="B703" s="11"/>
      <c r="C703" s="12"/>
      <c r="D703" s="12"/>
      <c r="E703" s="13"/>
      <c r="G703" s="17"/>
      <c r="J703" s="10"/>
    </row>
    <row r="704">
      <c r="B704" s="14"/>
      <c r="C704" s="15"/>
      <c r="D704" s="15"/>
      <c r="E704" s="16"/>
      <c r="G704" s="17"/>
      <c r="J704" s="10"/>
    </row>
    <row r="705">
      <c r="B705" s="11"/>
      <c r="C705" s="12"/>
      <c r="D705" s="12"/>
      <c r="E705" s="13"/>
      <c r="G705" s="17"/>
      <c r="J705" s="10"/>
    </row>
    <row r="706">
      <c r="B706" s="14"/>
      <c r="C706" s="15"/>
      <c r="D706" s="15"/>
      <c r="E706" s="16"/>
      <c r="G706" s="17"/>
      <c r="J706" s="10"/>
    </row>
    <row r="707">
      <c r="B707" s="11"/>
      <c r="C707" s="12"/>
      <c r="D707" s="12"/>
      <c r="E707" s="13"/>
      <c r="G707" s="17"/>
      <c r="J707" s="10"/>
    </row>
    <row r="708">
      <c r="B708" s="14"/>
      <c r="C708" s="15"/>
      <c r="D708" s="15"/>
      <c r="E708" s="16"/>
      <c r="G708" s="17"/>
      <c r="J708" s="10"/>
    </row>
    <row r="709">
      <c r="B709" s="11"/>
      <c r="C709" s="12"/>
      <c r="D709" s="12"/>
      <c r="E709" s="13"/>
      <c r="G709" s="17"/>
      <c r="J709" s="10"/>
    </row>
    <row r="710">
      <c r="B710" s="14"/>
      <c r="C710" s="15"/>
      <c r="D710" s="15"/>
      <c r="E710" s="16"/>
      <c r="G710" s="17"/>
      <c r="J710" s="10"/>
    </row>
    <row r="711">
      <c r="B711" s="11"/>
      <c r="C711" s="12"/>
      <c r="D711" s="12"/>
      <c r="E711" s="13"/>
      <c r="G711" s="17"/>
      <c r="J711" s="10"/>
    </row>
    <row r="712">
      <c r="B712" s="14"/>
      <c r="C712" s="15"/>
      <c r="D712" s="15"/>
      <c r="E712" s="16"/>
      <c r="G712" s="17"/>
      <c r="J712" s="10"/>
    </row>
    <row r="713">
      <c r="B713" s="11"/>
      <c r="C713" s="12"/>
      <c r="D713" s="12"/>
      <c r="E713" s="13"/>
      <c r="G713" s="17"/>
      <c r="J713" s="10"/>
    </row>
    <row r="714">
      <c r="B714" s="14"/>
      <c r="C714" s="15"/>
      <c r="D714" s="15"/>
      <c r="E714" s="16"/>
      <c r="G714" s="17"/>
      <c r="J714" s="10"/>
    </row>
    <row r="715">
      <c r="B715" s="11"/>
      <c r="C715" s="12"/>
      <c r="D715" s="12"/>
      <c r="E715" s="13"/>
      <c r="G715" s="17"/>
      <c r="J715" s="10"/>
    </row>
    <row r="716">
      <c r="B716" s="14"/>
      <c r="C716" s="15"/>
      <c r="D716" s="15"/>
      <c r="E716" s="16"/>
      <c r="G716" s="17"/>
      <c r="J716" s="10"/>
    </row>
    <row r="717">
      <c r="B717" s="11"/>
      <c r="C717" s="12"/>
      <c r="D717" s="12"/>
      <c r="E717" s="13"/>
      <c r="G717" s="17"/>
      <c r="J717" s="10"/>
    </row>
    <row r="718">
      <c r="B718" s="14"/>
      <c r="C718" s="15"/>
      <c r="D718" s="15"/>
      <c r="E718" s="16"/>
      <c r="G718" s="17"/>
      <c r="J718" s="10"/>
    </row>
    <row r="719">
      <c r="B719" s="11"/>
      <c r="C719" s="12"/>
      <c r="D719" s="12"/>
      <c r="E719" s="13"/>
      <c r="G719" s="17"/>
      <c r="J719" s="10"/>
    </row>
    <row r="720">
      <c r="B720" s="14"/>
      <c r="C720" s="15"/>
      <c r="D720" s="15"/>
      <c r="E720" s="16"/>
      <c r="G720" s="17"/>
      <c r="J720" s="10"/>
    </row>
    <row r="721">
      <c r="B721" s="11"/>
      <c r="C721" s="12"/>
      <c r="D721" s="12"/>
      <c r="E721" s="13"/>
      <c r="G721" s="17"/>
      <c r="J721" s="10"/>
    </row>
    <row r="722">
      <c r="B722" s="14"/>
      <c r="C722" s="15"/>
      <c r="D722" s="15"/>
      <c r="E722" s="16"/>
      <c r="G722" s="17"/>
      <c r="J722" s="10"/>
    </row>
    <row r="723">
      <c r="B723" s="11"/>
      <c r="C723" s="12"/>
      <c r="D723" s="12"/>
      <c r="E723" s="13"/>
      <c r="G723" s="17"/>
      <c r="J723" s="10"/>
    </row>
    <row r="724">
      <c r="B724" s="14"/>
      <c r="C724" s="15"/>
      <c r="D724" s="15"/>
      <c r="E724" s="16"/>
      <c r="G724" s="17"/>
      <c r="J724" s="10"/>
    </row>
    <row r="725">
      <c r="B725" s="11"/>
      <c r="C725" s="12"/>
      <c r="D725" s="12"/>
      <c r="E725" s="13"/>
      <c r="G725" s="17"/>
      <c r="J725" s="10"/>
    </row>
    <row r="726">
      <c r="B726" s="14"/>
      <c r="C726" s="15"/>
      <c r="D726" s="15"/>
      <c r="E726" s="16"/>
      <c r="G726" s="17"/>
      <c r="J726" s="10"/>
    </row>
    <row r="727">
      <c r="B727" s="11"/>
      <c r="C727" s="12"/>
      <c r="D727" s="12"/>
      <c r="E727" s="13"/>
      <c r="G727" s="17"/>
      <c r="J727" s="10"/>
    </row>
    <row r="728">
      <c r="B728" s="14"/>
      <c r="C728" s="15"/>
      <c r="D728" s="15"/>
      <c r="E728" s="16"/>
      <c r="G728" s="17"/>
      <c r="J728" s="10"/>
    </row>
    <row r="729">
      <c r="B729" s="11"/>
      <c r="C729" s="12"/>
      <c r="D729" s="12"/>
      <c r="E729" s="13"/>
      <c r="G729" s="17"/>
      <c r="J729" s="10"/>
    </row>
    <row r="730">
      <c r="B730" s="14"/>
      <c r="C730" s="15"/>
      <c r="D730" s="15"/>
      <c r="E730" s="16"/>
      <c r="G730" s="17"/>
      <c r="J730" s="10"/>
    </row>
    <row r="731">
      <c r="B731" s="11"/>
      <c r="C731" s="12"/>
      <c r="D731" s="12"/>
      <c r="E731" s="13"/>
      <c r="G731" s="17"/>
      <c r="J731" s="10"/>
    </row>
    <row r="732">
      <c r="B732" s="14"/>
      <c r="C732" s="15"/>
      <c r="D732" s="15"/>
      <c r="E732" s="16"/>
      <c r="G732" s="17"/>
      <c r="J732" s="10"/>
    </row>
    <row r="733">
      <c r="B733" s="11"/>
      <c r="C733" s="12"/>
      <c r="D733" s="12"/>
      <c r="E733" s="13"/>
      <c r="G733" s="17"/>
      <c r="J733" s="10"/>
    </row>
    <row r="734">
      <c r="B734" s="14"/>
      <c r="C734" s="15"/>
      <c r="D734" s="15"/>
      <c r="E734" s="16"/>
      <c r="G734" s="17"/>
      <c r="J734" s="10"/>
    </row>
    <row r="735">
      <c r="B735" s="11"/>
      <c r="C735" s="12"/>
      <c r="D735" s="12"/>
      <c r="E735" s="13"/>
      <c r="G735" s="17"/>
      <c r="J735" s="10"/>
    </row>
    <row r="736">
      <c r="B736" s="14"/>
      <c r="C736" s="15"/>
      <c r="D736" s="15"/>
      <c r="E736" s="16"/>
      <c r="G736" s="17"/>
      <c r="J736" s="10"/>
    </row>
    <row r="737">
      <c r="B737" s="11"/>
      <c r="C737" s="12"/>
      <c r="D737" s="12"/>
      <c r="E737" s="13"/>
      <c r="G737" s="17"/>
      <c r="J737" s="10"/>
    </row>
    <row r="738">
      <c r="B738" s="14"/>
      <c r="C738" s="15"/>
      <c r="D738" s="15"/>
      <c r="E738" s="16"/>
      <c r="G738" s="17"/>
      <c r="J738" s="10"/>
    </row>
    <row r="739">
      <c r="B739" s="11"/>
      <c r="C739" s="12"/>
      <c r="D739" s="12"/>
      <c r="E739" s="13"/>
      <c r="G739" s="17"/>
      <c r="J739" s="10"/>
    </row>
    <row r="740">
      <c r="B740" s="14"/>
      <c r="C740" s="15"/>
      <c r="D740" s="15"/>
      <c r="E740" s="16"/>
      <c r="G740" s="17"/>
      <c r="J740" s="10"/>
    </row>
    <row r="741">
      <c r="B741" s="11"/>
      <c r="C741" s="12"/>
      <c r="D741" s="12"/>
      <c r="E741" s="13"/>
      <c r="G741" s="17"/>
      <c r="J741" s="10"/>
    </row>
    <row r="742">
      <c r="B742" s="14"/>
      <c r="C742" s="15"/>
      <c r="D742" s="15"/>
      <c r="E742" s="16"/>
      <c r="G742" s="17"/>
      <c r="J742" s="10"/>
    </row>
    <row r="743">
      <c r="B743" s="11"/>
      <c r="C743" s="12"/>
      <c r="D743" s="12"/>
      <c r="E743" s="13"/>
      <c r="G743" s="17"/>
      <c r="J743" s="10"/>
    </row>
    <row r="744">
      <c r="B744" s="14"/>
      <c r="C744" s="15"/>
      <c r="D744" s="15"/>
      <c r="E744" s="16"/>
      <c r="G744" s="17"/>
      <c r="J744" s="10"/>
    </row>
    <row r="745">
      <c r="B745" s="11"/>
      <c r="C745" s="12"/>
      <c r="D745" s="12"/>
      <c r="E745" s="13"/>
      <c r="G745" s="17"/>
      <c r="J745" s="10"/>
    </row>
    <row r="746">
      <c r="B746" s="14"/>
      <c r="C746" s="15"/>
      <c r="D746" s="15"/>
      <c r="E746" s="16"/>
      <c r="G746" s="17"/>
      <c r="J746" s="10"/>
    </row>
    <row r="747">
      <c r="B747" s="11"/>
      <c r="C747" s="12"/>
      <c r="D747" s="12"/>
      <c r="E747" s="13"/>
      <c r="G747" s="17"/>
      <c r="J747" s="10"/>
    </row>
    <row r="748">
      <c r="B748" s="14"/>
      <c r="C748" s="15"/>
      <c r="D748" s="15"/>
      <c r="E748" s="16"/>
      <c r="G748" s="17"/>
      <c r="J748" s="10"/>
    </row>
    <row r="749">
      <c r="B749" s="11"/>
      <c r="C749" s="12"/>
      <c r="D749" s="12"/>
      <c r="E749" s="13"/>
      <c r="G749" s="17"/>
      <c r="J749" s="10"/>
    </row>
    <row r="750">
      <c r="B750" s="14"/>
      <c r="C750" s="15"/>
      <c r="D750" s="15"/>
      <c r="E750" s="16"/>
      <c r="G750" s="17"/>
      <c r="J750" s="10"/>
    </row>
    <row r="751">
      <c r="B751" s="11"/>
      <c r="C751" s="12"/>
      <c r="D751" s="12"/>
      <c r="E751" s="13"/>
      <c r="G751" s="17"/>
      <c r="J751" s="10"/>
    </row>
    <row r="752">
      <c r="B752" s="14"/>
      <c r="C752" s="15"/>
      <c r="D752" s="15"/>
      <c r="E752" s="16"/>
      <c r="G752" s="17"/>
      <c r="J752" s="10"/>
    </row>
    <row r="753">
      <c r="B753" s="11"/>
      <c r="C753" s="12"/>
      <c r="D753" s="12"/>
      <c r="E753" s="13"/>
      <c r="G753" s="17"/>
      <c r="J753" s="10"/>
    </row>
    <row r="754">
      <c r="B754" s="14"/>
      <c r="C754" s="15"/>
      <c r="D754" s="15"/>
      <c r="E754" s="16"/>
      <c r="G754" s="17"/>
      <c r="J754" s="10"/>
    </row>
    <row r="755">
      <c r="B755" s="11"/>
      <c r="C755" s="12"/>
      <c r="D755" s="12"/>
      <c r="E755" s="13"/>
      <c r="G755" s="17"/>
      <c r="J755" s="10"/>
    </row>
    <row r="756">
      <c r="B756" s="14"/>
      <c r="C756" s="15"/>
      <c r="D756" s="15"/>
      <c r="E756" s="16"/>
      <c r="G756" s="17"/>
      <c r="J756" s="10"/>
    </row>
    <row r="757">
      <c r="B757" s="11"/>
      <c r="C757" s="12"/>
      <c r="D757" s="12"/>
      <c r="E757" s="13"/>
      <c r="G757" s="17"/>
      <c r="J757" s="10"/>
    </row>
    <row r="758">
      <c r="B758" s="14"/>
      <c r="C758" s="15"/>
      <c r="D758" s="15"/>
      <c r="E758" s="16"/>
      <c r="G758" s="17"/>
      <c r="J758" s="10"/>
    </row>
    <row r="759">
      <c r="B759" s="11"/>
      <c r="C759" s="12"/>
      <c r="D759" s="12"/>
      <c r="E759" s="13"/>
      <c r="G759" s="17"/>
      <c r="J759" s="10"/>
    </row>
    <row r="760">
      <c r="B760" s="14"/>
      <c r="C760" s="15"/>
      <c r="D760" s="15"/>
      <c r="E760" s="16"/>
      <c r="G760" s="17"/>
      <c r="J760" s="10"/>
    </row>
    <row r="761">
      <c r="B761" s="11"/>
      <c r="C761" s="12"/>
      <c r="D761" s="12"/>
      <c r="E761" s="13"/>
      <c r="G761" s="17"/>
      <c r="J761" s="10"/>
    </row>
    <row r="762">
      <c r="B762" s="14"/>
      <c r="C762" s="15"/>
      <c r="D762" s="15"/>
      <c r="E762" s="16"/>
      <c r="G762" s="17"/>
      <c r="J762" s="10"/>
    </row>
    <row r="763">
      <c r="B763" s="11"/>
      <c r="C763" s="12"/>
      <c r="D763" s="12"/>
      <c r="E763" s="13"/>
      <c r="G763" s="17"/>
      <c r="J763" s="10"/>
    </row>
    <row r="764">
      <c r="B764" s="14"/>
      <c r="C764" s="15"/>
      <c r="D764" s="15"/>
      <c r="E764" s="16"/>
      <c r="G764" s="17"/>
      <c r="J764" s="10"/>
    </row>
    <row r="765">
      <c r="B765" s="11"/>
      <c r="C765" s="12"/>
      <c r="D765" s="12"/>
      <c r="E765" s="13"/>
      <c r="G765" s="17"/>
      <c r="J765" s="10"/>
    </row>
    <row r="766">
      <c r="B766" s="14"/>
      <c r="C766" s="15"/>
      <c r="D766" s="15"/>
      <c r="E766" s="16"/>
      <c r="G766" s="17"/>
      <c r="J766" s="10"/>
    </row>
    <row r="767">
      <c r="B767" s="11"/>
      <c r="C767" s="12"/>
      <c r="D767" s="12"/>
      <c r="E767" s="13"/>
      <c r="G767" s="17"/>
      <c r="J767" s="10"/>
    </row>
    <row r="768">
      <c r="B768" s="14"/>
      <c r="C768" s="15"/>
      <c r="D768" s="15"/>
      <c r="E768" s="16"/>
      <c r="G768" s="17"/>
      <c r="J768" s="10"/>
    </row>
    <row r="769">
      <c r="B769" s="11"/>
      <c r="C769" s="12"/>
      <c r="D769" s="12"/>
      <c r="E769" s="13"/>
      <c r="G769" s="17"/>
      <c r="J769" s="10"/>
    </row>
    <row r="770">
      <c r="B770" s="14"/>
      <c r="C770" s="15"/>
      <c r="D770" s="15"/>
      <c r="E770" s="16"/>
      <c r="G770" s="17"/>
      <c r="J770" s="10"/>
    </row>
    <row r="771">
      <c r="B771" s="11"/>
      <c r="C771" s="12"/>
      <c r="D771" s="12"/>
      <c r="E771" s="13"/>
      <c r="G771" s="17"/>
      <c r="J771" s="10"/>
    </row>
    <row r="772">
      <c r="B772" s="14"/>
      <c r="C772" s="15"/>
      <c r="D772" s="15"/>
      <c r="E772" s="16"/>
      <c r="G772" s="17"/>
      <c r="J772" s="10"/>
    </row>
    <row r="773">
      <c r="B773" s="11"/>
      <c r="C773" s="12"/>
      <c r="D773" s="12"/>
      <c r="E773" s="13"/>
      <c r="G773" s="17"/>
      <c r="J773" s="10"/>
    </row>
    <row r="774">
      <c r="B774" s="14"/>
      <c r="C774" s="15"/>
      <c r="D774" s="15"/>
      <c r="E774" s="16"/>
      <c r="G774" s="17"/>
      <c r="J774" s="10"/>
    </row>
    <row r="775">
      <c r="B775" s="11"/>
      <c r="C775" s="12"/>
      <c r="D775" s="12"/>
      <c r="E775" s="13"/>
      <c r="G775" s="17"/>
      <c r="J775" s="10"/>
    </row>
    <row r="776">
      <c r="B776" s="14"/>
      <c r="C776" s="15"/>
      <c r="D776" s="15"/>
      <c r="E776" s="16"/>
      <c r="G776" s="17"/>
      <c r="J776" s="10"/>
    </row>
    <row r="777">
      <c r="B777" s="11"/>
      <c r="C777" s="12"/>
      <c r="D777" s="12"/>
      <c r="E777" s="13"/>
      <c r="G777" s="17"/>
      <c r="J777" s="10"/>
    </row>
    <row r="778">
      <c r="B778" s="14"/>
      <c r="C778" s="15"/>
      <c r="D778" s="15"/>
      <c r="E778" s="16"/>
      <c r="G778" s="17"/>
      <c r="J778" s="10"/>
    </row>
    <row r="779">
      <c r="B779" s="11"/>
      <c r="C779" s="12"/>
      <c r="D779" s="12"/>
      <c r="E779" s="13"/>
      <c r="G779" s="17"/>
      <c r="J779" s="10"/>
    </row>
    <row r="780">
      <c r="B780" s="14"/>
      <c r="C780" s="15"/>
      <c r="D780" s="15"/>
      <c r="E780" s="16"/>
      <c r="G780" s="17"/>
      <c r="J780" s="10"/>
    </row>
    <row r="781">
      <c r="B781" s="11"/>
      <c r="C781" s="12"/>
      <c r="D781" s="12"/>
      <c r="E781" s="13"/>
      <c r="G781" s="17"/>
      <c r="J781" s="10"/>
    </row>
    <row r="782">
      <c r="B782" s="14"/>
      <c r="C782" s="15"/>
      <c r="D782" s="15"/>
      <c r="E782" s="16"/>
      <c r="G782" s="17"/>
      <c r="J782" s="10"/>
    </row>
    <row r="783">
      <c r="B783" s="11"/>
      <c r="C783" s="12"/>
      <c r="D783" s="12"/>
      <c r="E783" s="13"/>
      <c r="G783" s="17"/>
      <c r="J783" s="10"/>
    </row>
    <row r="784">
      <c r="B784" s="14"/>
      <c r="C784" s="15"/>
      <c r="D784" s="15"/>
      <c r="E784" s="16"/>
      <c r="G784" s="17"/>
      <c r="J784" s="10"/>
    </row>
    <row r="785">
      <c r="B785" s="11"/>
      <c r="C785" s="12"/>
      <c r="D785" s="12"/>
      <c r="E785" s="13"/>
      <c r="G785" s="17"/>
      <c r="J785" s="10"/>
    </row>
    <row r="786">
      <c r="B786" s="14"/>
      <c r="C786" s="15"/>
      <c r="D786" s="15"/>
      <c r="E786" s="16"/>
      <c r="G786" s="17"/>
      <c r="J786" s="10"/>
    </row>
    <row r="787">
      <c r="B787" s="11"/>
      <c r="C787" s="12"/>
      <c r="D787" s="12"/>
      <c r="E787" s="13"/>
      <c r="G787" s="17"/>
      <c r="J787" s="10"/>
    </row>
    <row r="788">
      <c r="B788" s="14"/>
      <c r="C788" s="15"/>
      <c r="D788" s="15"/>
      <c r="E788" s="16"/>
      <c r="G788" s="17"/>
      <c r="J788" s="10"/>
    </row>
    <row r="789">
      <c r="B789" s="11"/>
      <c r="C789" s="12"/>
      <c r="D789" s="12"/>
      <c r="E789" s="13"/>
      <c r="G789" s="17"/>
      <c r="J789" s="10"/>
    </row>
    <row r="790">
      <c r="B790" s="14"/>
      <c r="C790" s="15"/>
      <c r="D790" s="15"/>
      <c r="E790" s="16"/>
      <c r="G790" s="17"/>
      <c r="J790" s="10"/>
    </row>
    <row r="791">
      <c r="B791" s="11"/>
      <c r="C791" s="12"/>
      <c r="D791" s="12"/>
      <c r="E791" s="13"/>
      <c r="G791" s="17"/>
      <c r="J791" s="10"/>
    </row>
    <row r="792">
      <c r="B792" s="14"/>
      <c r="C792" s="15"/>
      <c r="D792" s="15"/>
      <c r="E792" s="16"/>
      <c r="G792" s="17"/>
      <c r="J792" s="10"/>
    </row>
    <row r="793">
      <c r="B793" s="11"/>
      <c r="C793" s="12"/>
      <c r="D793" s="12"/>
      <c r="E793" s="13"/>
      <c r="G793" s="17"/>
      <c r="J793" s="10"/>
    </row>
    <row r="794">
      <c r="B794" s="14"/>
      <c r="C794" s="15"/>
      <c r="D794" s="15"/>
      <c r="E794" s="16"/>
      <c r="G794" s="17"/>
      <c r="J794" s="10"/>
    </row>
    <row r="795">
      <c r="B795" s="11"/>
      <c r="C795" s="12"/>
      <c r="D795" s="12"/>
      <c r="E795" s="13"/>
      <c r="G795" s="17"/>
      <c r="J795" s="10"/>
    </row>
    <row r="796">
      <c r="B796" s="14"/>
      <c r="C796" s="15"/>
      <c r="D796" s="15"/>
      <c r="E796" s="16"/>
      <c r="G796" s="17"/>
      <c r="J796" s="10"/>
    </row>
    <row r="797">
      <c r="B797" s="11"/>
      <c r="C797" s="12"/>
      <c r="D797" s="12"/>
      <c r="E797" s="13"/>
      <c r="G797" s="17"/>
      <c r="J797" s="10"/>
    </row>
    <row r="798">
      <c r="B798" s="14"/>
      <c r="C798" s="15"/>
      <c r="D798" s="15"/>
      <c r="E798" s="16"/>
      <c r="G798" s="17"/>
      <c r="J798" s="10"/>
    </row>
    <row r="799">
      <c r="B799" s="11"/>
      <c r="C799" s="12"/>
      <c r="D799" s="12"/>
      <c r="E799" s="13"/>
      <c r="G799" s="17"/>
      <c r="J799" s="10"/>
    </row>
    <row r="800">
      <c r="B800" s="14"/>
      <c r="C800" s="15"/>
      <c r="D800" s="15"/>
      <c r="E800" s="16"/>
      <c r="G800" s="17"/>
      <c r="J800" s="10"/>
    </row>
    <row r="801">
      <c r="B801" s="11"/>
      <c r="C801" s="12"/>
      <c r="D801" s="12"/>
      <c r="E801" s="13"/>
      <c r="G801" s="17"/>
      <c r="J801" s="10"/>
    </row>
    <row r="802">
      <c r="B802" s="14"/>
      <c r="C802" s="15"/>
      <c r="D802" s="15"/>
      <c r="E802" s="16"/>
      <c r="G802" s="17"/>
      <c r="J802" s="10"/>
    </row>
    <row r="803">
      <c r="B803" s="11"/>
      <c r="C803" s="12"/>
      <c r="D803" s="12"/>
      <c r="E803" s="13"/>
      <c r="G803" s="17"/>
      <c r="J803" s="10"/>
    </row>
    <row r="804">
      <c r="B804" s="14"/>
      <c r="C804" s="15"/>
      <c r="D804" s="15"/>
      <c r="E804" s="16"/>
      <c r="G804" s="17"/>
      <c r="J804" s="10"/>
    </row>
    <row r="805">
      <c r="B805" s="11"/>
      <c r="C805" s="12"/>
      <c r="D805" s="12"/>
      <c r="E805" s="13"/>
      <c r="G805" s="17"/>
      <c r="J805" s="10"/>
    </row>
    <row r="806">
      <c r="B806" s="14"/>
      <c r="C806" s="15"/>
      <c r="D806" s="15"/>
      <c r="E806" s="16"/>
      <c r="G806" s="17"/>
      <c r="J806" s="10"/>
    </row>
    <row r="807">
      <c r="B807" s="11"/>
      <c r="C807" s="12"/>
      <c r="D807" s="12"/>
      <c r="E807" s="13"/>
      <c r="G807" s="17"/>
      <c r="J807" s="10"/>
    </row>
    <row r="808">
      <c r="B808" s="14"/>
      <c r="C808" s="15"/>
      <c r="D808" s="15"/>
      <c r="E808" s="16"/>
      <c r="G808" s="17"/>
      <c r="J808" s="10"/>
    </row>
    <row r="809">
      <c r="B809" s="11"/>
      <c r="C809" s="12"/>
      <c r="D809" s="12"/>
      <c r="E809" s="13"/>
      <c r="G809" s="17"/>
      <c r="J809" s="10"/>
    </row>
    <row r="810">
      <c r="B810" s="14"/>
      <c r="C810" s="15"/>
      <c r="D810" s="15"/>
      <c r="E810" s="16"/>
      <c r="G810" s="17"/>
      <c r="J810" s="10"/>
    </row>
    <row r="811">
      <c r="B811" s="11"/>
      <c r="C811" s="12"/>
      <c r="D811" s="12"/>
      <c r="E811" s="13"/>
      <c r="G811" s="17"/>
      <c r="J811" s="10"/>
    </row>
    <row r="812">
      <c r="B812" s="14"/>
      <c r="C812" s="15"/>
      <c r="D812" s="15"/>
      <c r="E812" s="16"/>
      <c r="G812" s="17"/>
      <c r="J812" s="10"/>
    </row>
    <row r="813">
      <c r="B813" s="11"/>
      <c r="C813" s="12"/>
      <c r="D813" s="12"/>
      <c r="E813" s="13"/>
      <c r="G813" s="17"/>
      <c r="J813" s="10"/>
    </row>
    <row r="814">
      <c r="B814" s="14"/>
      <c r="C814" s="15"/>
      <c r="D814" s="15"/>
      <c r="E814" s="16"/>
      <c r="G814" s="17"/>
      <c r="J814" s="10"/>
    </row>
    <row r="815">
      <c r="B815" s="11"/>
      <c r="C815" s="12"/>
      <c r="D815" s="12"/>
      <c r="E815" s="13"/>
      <c r="G815" s="17"/>
      <c r="J815" s="10"/>
    </row>
    <row r="816">
      <c r="B816" s="14"/>
      <c r="C816" s="15"/>
      <c r="D816" s="15"/>
      <c r="E816" s="16"/>
      <c r="G816" s="17"/>
      <c r="J816" s="10"/>
    </row>
    <row r="817">
      <c r="B817" s="11"/>
      <c r="C817" s="12"/>
      <c r="D817" s="12"/>
      <c r="E817" s="13"/>
      <c r="G817" s="17"/>
      <c r="J817" s="10"/>
    </row>
    <row r="818">
      <c r="B818" s="14"/>
      <c r="C818" s="15"/>
      <c r="D818" s="15"/>
      <c r="E818" s="16"/>
      <c r="G818" s="17"/>
      <c r="J818" s="10"/>
    </row>
    <row r="819">
      <c r="B819" s="11"/>
      <c r="C819" s="12"/>
      <c r="D819" s="12"/>
      <c r="E819" s="13"/>
      <c r="G819" s="17"/>
      <c r="J819" s="10"/>
    </row>
    <row r="820">
      <c r="B820" s="14"/>
      <c r="C820" s="15"/>
      <c r="D820" s="15"/>
      <c r="E820" s="16"/>
      <c r="G820" s="17"/>
      <c r="J820" s="10"/>
    </row>
    <row r="821">
      <c r="B821" s="11"/>
      <c r="C821" s="12"/>
      <c r="D821" s="12"/>
      <c r="E821" s="13"/>
      <c r="G821" s="17"/>
      <c r="J821" s="10"/>
    </row>
    <row r="822">
      <c r="B822" s="14"/>
      <c r="C822" s="15"/>
      <c r="D822" s="15"/>
      <c r="E822" s="16"/>
      <c r="G822" s="17"/>
      <c r="J822" s="10"/>
    </row>
    <row r="823">
      <c r="B823" s="11"/>
      <c r="C823" s="12"/>
      <c r="D823" s="12"/>
      <c r="E823" s="13"/>
      <c r="G823" s="17"/>
      <c r="J823" s="10"/>
    </row>
    <row r="824">
      <c r="B824" s="14"/>
      <c r="C824" s="15"/>
      <c r="D824" s="15"/>
      <c r="E824" s="16"/>
      <c r="G824" s="17"/>
      <c r="J824" s="10"/>
    </row>
    <row r="825">
      <c r="B825" s="11"/>
      <c r="C825" s="12"/>
      <c r="D825" s="12"/>
      <c r="E825" s="13"/>
      <c r="G825" s="17"/>
      <c r="J825" s="10"/>
    </row>
    <row r="826">
      <c r="B826" s="14"/>
      <c r="C826" s="15"/>
      <c r="D826" s="15"/>
      <c r="E826" s="16"/>
      <c r="G826" s="17"/>
      <c r="J826" s="10"/>
    </row>
    <row r="827">
      <c r="B827" s="11"/>
      <c r="C827" s="12"/>
      <c r="D827" s="12"/>
      <c r="E827" s="13"/>
      <c r="G827" s="17"/>
      <c r="J827" s="10"/>
    </row>
    <row r="828">
      <c r="B828" s="14"/>
      <c r="C828" s="15"/>
      <c r="D828" s="15"/>
      <c r="E828" s="16"/>
      <c r="G828" s="17"/>
      <c r="J828" s="10"/>
    </row>
    <row r="829">
      <c r="B829" s="11"/>
      <c r="C829" s="12"/>
      <c r="D829" s="12"/>
      <c r="E829" s="13"/>
      <c r="G829" s="17"/>
      <c r="J829" s="10"/>
    </row>
    <row r="830">
      <c r="B830" s="14"/>
      <c r="C830" s="15"/>
      <c r="D830" s="15"/>
      <c r="E830" s="16"/>
      <c r="G830" s="17"/>
      <c r="J830" s="10"/>
    </row>
    <row r="831">
      <c r="B831" s="11"/>
      <c r="C831" s="12"/>
      <c r="D831" s="12"/>
      <c r="E831" s="13"/>
      <c r="G831" s="17"/>
      <c r="J831" s="10"/>
    </row>
    <row r="832">
      <c r="B832" s="14"/>
      <c r="C832" s="15"/>
      <c r="D832" s="15"/>
      <c r="E832" s="16"/>
      <c r="G832" s="17"/>
      <c r="J832" s="10"/>
    </row>
    <row r="833">
      <c r="B833" s="11"/>
      <c r="C833" s="12"/>
      <c r="D833" s="12"/>
      <c r="E833" s="13"/>
      <c r="G833" s="17"/>
      <c r="J833" s="10"/>
    </row>
    <row r="834">
      <c r="B834" s="14"/>
      <c r="C834" s="15"/>
      <c r="D834" s="15"/>
      <c r="E834" s="16"/>
      <c r="G834" s="17"/>
      <c r="J834" s="10"/>
    </row>
    <row r="835">
      <c r="B835" s="11"/>
      <c r="C835" s="12"/>
      <c r="D835" s="12"/>
      <c r="E835" s="13"/>
      <c r="G835" s="17"/>
      <c r="J835" s="10"/>
    </row>
    <row r="836">
      <c r="B836" s="14"/>
      <c r="C836" s="15"/>
      <c r="D836" s="15"/>
      <c r="E836" s="16"/>
      <c r="G836" s="17"/>
      <c r="J836" s="10"/>
    </row>
    <row r="837">
      <c r="B837" s="11"/>
      <c r="C837" s="12"/>
      <c r="D837" s="12"/>
      <c r="E837" s="13"/>
      <c r="G837" s="17"/>
      <c r="J837" s="10"/>
    </row>
    <row r="838">
      <c r="B838" s="14"/>
      <c r="C838" s="15"/>
      <c r="D838" s="15"/>
      <c r="E838" s="16"/>
      <c r="G838" s="17"/>
      <c r="J838" s="10"/>
    </row>
    <row r="839">
      <c r="B839" s="11"/>
      <c r="C839" s="12"/>
      <c r="D839" s="12"/>
      <c r="E839" s="13"/>
      <c r="G839" s="17"/>
      <c r="J839" s="10"/>
    </row>
    <row r="840">
      <c r="B840" s="14"/>
      <c r="C840" s="15"/>
      <c r="D840" s="15"/>
      <c r="E840" s="16"/>
      <c r="G840" s="17"/>
      <c r="J840" s="10"/>
    </row>
    <row r="841">
      <c r="B841" s="11"/>
      <c r="C841" s="12"/>
      <c r="D841" s="12"/>
      <c r="E841" s="13"/>
      <c r="G841" s="17"/>
      <c r="J841" s="10"/>
    </row>
    <row r="842">
      <c r="B842" s="14"/>
      <c r="C842" s="15"/>
      <c r="D842" s="15"/>
      <c r="E842" s="16"/>
      <c r="G842" s="17"/>
      <c r="J842" s="10"/>
    </row>
    <row r="843">
      <c r="B843" s="11"/>
      <c r="C843" s="12"/>
      <c r="D843" s="12"/>
      <c r="E843" s="13"/>
      <c r="G843" s="17"/>
      <c r="J843" s="10"/>
    </row>
    <row r="844">
      <c r="B844" s="14"/>
      <c r="C844" s="15"/>
      <c r="D844" s="15"/>
      <c r="E844" s="16"/>
      <c r="G844" s="17"/>
      <c r="J844" s="10"/>
    </row>
    <row r="845">
      <c r="B845" s="11"/>
      <c r="C845" s="12"/>
      <c r="D845" s="12"/>
      <c r="E845" s="13"/>
      <c r="G845" s="17"/>
      <c r="J845" s="10"/>
    </row>
    <row r="846">
      <c r="B846" s="14"/>
      <c r="C846" s="15"/>
      <c r="D846" s="15"/>
      <c r="E846" s="16"/>
      <c r="G846" s="17"/>
      <c r="J846" s="10"/>
    </row>
    <row r="847">
      <c r="B847" s="11"/>
      <c r="C847" s="12"/>
      <c r="D847" s="12"/>
      <c r="E847" s="13"/>
      <c r="G847" s="17"/>
      <c r="J847" s="10"/>
    </row>
    <row r="848">
      <c r="B848" s="14"/>
      <c r="C848" s="15"/>
      <c r="D848" s="15"/>
      <c r="E848" s="16"/>
      <c r="G848" s="17"/>
      <c r="J848" s="10"/>
    </row>
    <row r="849">
      <c r="B849" s="11"/>
      <c r="C849" s="12"/>
      <c r="D849" s="12"/>
      <c r="E849" s="13"/>
      <c r="G849" s="17"/>
      <c r="J849" s="10"/>
    </row>
    <row r="850">
      <c r="B850" s="14"/>
      <c r="C850" s="15"/>
      <c r="D850" s="15"/>
      <c r="E850" s="16"/>
      <c r="G850" s="17"/>
      <c r="J850" s="10"/>
    </row>
    <row r="851">
      <c r="B851" s="11"/>
      <c r="C851" s="12"/>
      <c r="D851" s="12"/>
      <c r="E851" s="13"/>
      <c r="G851" s="17"/>
      <c r="J851" s="10"/>
    </row>
    <row r="852">
      <c r="B852" s="14"/>
      <c r="C852" s="15"/>
      <c r="D852" s="15"/>
      <c r="E852" s="16"/>
      <c r="G852" s="17"/>
      <c r="J852" s="10"/>
    </row>
    <row r="853">
      <c r="B853" s="11"/>
      <c r="C853" s="12"/>
      <c r="D853" s="12"/>
      <c r="E853" s="13"/>
      <c r="G853" s="17"/>
      <c r="J853" s="10"/>
    </row>
    <row r="854">
      <c r="B854" s="14"/>
      <c r="C854" s="15"/>
      <c r="D854" s="15"/>
      <c r="E854" s="16"/>
      <c r="G854" s="17"/>
      <c r="J854" s="10"/>
    </row>
    <row r="855">
      <c r="B855" s="11"/>
      <c r="C855" s="12"/>
      <c r="D855" s="12"/>
      <c r="E855" s="13"/>
      <c r="G855" s="17"/>
      <c r="J855" s="10"/>
    </row>
    <row r="856">
      <c r="B856" s="14"/>
      <c r="C856" s="15"/>
      <c r="D856" s="15"/>
      <c r="E856" s="16"/>
      <c r="G856" s="17"/>
      <c r="J856" s="10"/>
    </row>
    <row r="857">
      <c r="B857" s="11"/>
      <c r="C857" s="12"/>
      <c r="D857" s="12"/>
      <c r="E857" s="13"/>
      <c r="G857" s="17"/>
      <c r="J857" s="10"/>
    </row>
    <row r="858">
      <c r="B858" s="14"/>
      <c r="C858" s="15"/>
      <c r="D858" s="15"/>
      <c r="E858" s="16"/>
      <c r="G858" s="17"/>
      <c r="J858" s="10"/>
    </row>
    <row r="859">
      <c r="B859" s="11"/>
      <c r="C859" s="12"/>
      <c r="D859" s="12"/>
      <c r="E859" s="13"/>
      <c r="G859" s="17"/>
      <c r="J859" s="10"/>
    </row>
    <row r="860">
      <c r="B860" s="14"/>
      <c r="C860" s="15"/>
      <c r="D860" s="15"/>
      <c r="E860" s="16"/>
      <c r="G860" s="17"/>
      <c r="J860" s="10"/>
    </row>
    <row r="861">
      <c r="B861" s="11"/>
      <c r="C861" s="12"/>
      <c r="D861" s="12"/>
      <c r="E861" s="13"/>
      <c r="G861" s="17"/>
      <c r="J861" s="10"/>
    </row>
    <row r="862">
      <c r="B862" s="14"/>
      <c r="C862" s="15"/>
      <c r="D862" s="15"/>
      <c r="E862" s="16"/>
      <c r="G862" s="17"/>
      <c r="J862" s="10"/>
    </row>
    <row r="863">
      <c r="B863" s="11"/>
      <c r="C863" s="12"/>
      <c r="D863" s="12"/>
      <c r="E863" s="13"/>
      <c r="G863" s="17"/>
      <c r="J863" s="10"/>
    </row>
    <row r="864">
      <c r="B864" s="14"/>
      <c r="C864" s="15"/>
      <c r="D864" s="15"/>
      <c r="E864" s="16"/>
      <c r="G864" s="17"/>
      <c r="J864" s="10"/>
    </row>
    <row r="865">
      <c r="B865" s="11"/>
      <c r="C865" s="12"/>
      <c r="D865" s="12"/>
      <c r="E865" s="13"/>
      <c r="G865" s="17"/>
      <c r="J865" s="10"/>
    </row>
    <row r="866">
      <c r="B866" s="14"/>
      <c r="C866" s="15"/>
      <c r="D866" s="15"/>
      <c r="E866" s="16"/>
      <c r="G866" s="17"/>
      <c r="J866" s="10"/>
    </row>
    <row r="867">
      <c r="B867" s="11"/>
      <c r="C867" s="12"/>
      <c r="D867" s="12"/>
      <c r="E867" s="13"/>
      <c r="G867" s="17"/>
      <c r="J867" s="10"/>
    </row>
    <row r="868">
      <c r="B868" s="14"/>
      <c r="C868" s="15"/>
      <c r="D868" s="15"/>
      <c r="E868" s="16"/>
      <c r="G868" s="17"/>
      <c r="J868" s="10"/>
    </row>
    <row r="869">
      <c r="B869" s="11"/>
      <c r="C869" s="12"/>
      <c r="D869" s="12"/>
      <c r="E869" s="13"/>
      <c r="G869" s="17"/>
      <c r="J869" s="10"/>
    </row>
    <row r="870">
      <c r="B870" s="14"/>
      <c r="C870" s="15"/>
      <c r="D870" s="15"/>
      <c r="E870" s="16"/>
      <c r="G870" s="17"/>
      <c r="J870" s="10"/>
    </row>
    <row r="871">
      <c r="B871" s="11"/>
      <c r="C871" s="12"/>
      <c r="D871" s="12"/>
      <c r="E871" s="13"/>
      <c r="G871" s="17"/>
      <c r="J871" s="10"/>
    </row>
    <row r="872">
      <c r="B872" s="14"/>
      <c r="C872" s="15"/>
      <c r="D872" s="15"/>
      <c r="E872" s="16"/>
      <c r="G872" s="17"/>
      <c r="J872" s="10"/>
    </row>
    <row r="873">
      <c r="B873" s="11"/>
      <c r="C873" s="12"/>
      <c r="D873" s="12"/>
      <c r="E873" s="13"/>
      <c r="G873" s="17"/>
      <c r="J873" s="10"/>
    </row>
    <row r="874">
      <c r="B874" s="14"/>
      <c r="C874" s="15"/>
      <c r="D874" s="15"/>
      <c r="E874" s="16"/>
      <c r="G874" s="17"/>
      <c r="J874" s="10"/>
    </row>
    <row r="875">
      <c r="B875" s="11"/>
      <c r="C875" s="12"/>
      <c r="D875" s="12"/>
      <c r="E875" s="13"/>
      <c r="G875" s="17"/>
      <c r="J875" s="10"/>
    </row>
    <row r="876">
      <c r="B876" s="14"/>
      <c r="C876" s="15"/>
      <c r="D876" s="15"/>
      <c r="E876" s="16"/>
      <c r="G876" s="17"/>
      <c r="J876" s="10"/>
    </row>
    <row r="877">
      <c r="B877" s="11"/>
      <c r="C877" s="12"/>
      <c r="D877" s="12"/>
      <c r="E877" s="13"/>
      <c r="G877" s="17"/>
      <c r="J877" s="10"/>
    </row>
    <row r="878">
      <c r="B878" s="14"/>
      <c r="C878" s="15"/>
      <c r="D878" s="15"/>
      <c r="E878" s="16"/>
      <c r="G878" s="17"/>
      <c r="J878" s="10"/>
    </row>
    <row r="879">
      <c r="B879" s="11"/>
      <c r="C879" s="12"/>
      <c r="D879" s="12"/>
      <c r="E879" s="13"/>
      <c r="G879" s="17"/>
      <c r="J879" s="10"/>
    </row>
    <row r="880">
      <c r="B880" s="14"/>
      <c r="C880" s="15"/>
      <c r="D880" s="15"/>
      <c r="E880" s="16"/>
      <c r="G880" s="17"/>
      <c r="J880" s="10"/>
    </row>
    <row r="881">
      <c r="B881" s="11"/>
      <c r="C881" s="12"/>
      <c r="D881" s="12"/>
      <c r="E881" s="13"/>
      <c r="G881" s="17"/>
      <c r="J881" s="10"/>
    </row>
    <row r="882">
      <c r="B882" s="14"/>
      <c r="C882" s="15"/>
      <c r="D882" s="15"/>
      <c r="E882" s="16"/>
      <c r="G882" s="17"/>
      <c r="J882" s="10"/>
    </row>
    <row r="883">
      <c r="B883" s="11"/>
      <c r="C883" s="12"/>
      <c r="D883" s="12"/>
      <c r="E883" s="13"/>
      <c r="G883" s="17"/>
      <c r="J883" s="10"/>
    </row>
    <row r="884">
      <c r="B884" s="14"/>
      <c r="C884" s="15"/>
      <c r="D884" s="15"/>
      <c r="E884" s="16"/>
      <c r="G884" s="17"/>
      <c r="J884" s="10"/>
    </row>
    <row r="885">
      <c r="B885" s="11"/>
      <c r="C885" s="12"/>
      <c r="D885" s="12"/>
      <c r="E885" s="13"/>
      <c r="G885" s="17"/>
      <c r="J885" s="10"/>
    </row>
    <row r="886">
      <c r="B886" s="14"/>
      <c r="C886" s="15"/>
      <c r="D886" s="15"/>
      <c r="E886" s="16"/>
      <c r="G886" s="17"/>
      <c r="J886" s="10"/>
    </row>
    <row r="887">
      <c r="B887" s="11"/>
      <c r="C887" s="12"/>
      <c r="D887" s="12"/>
      <c r="E887" s="13"/>
      <c r="G887" s="17"/>
      <c r="J887" s="10"/>
    </row>
    <row r="888">
      <c r="B888" s="14"/>
      <c r="C888" s="15"/>
      <c r="D888" s="15"/>
      <c r="E888" s="16"/>
      <c r="G888" s="17"/>
      <c r="J888" s="10"/>
    </row>
    <row r="889">
      <c r="B889" s="11"/>
      <c r="C889" s="12"/>
      <c r="D889" s="12"/>
      <c r="E889" s="13"/>
      <c r="G889" s="17"/>
      <c r="J889" s="10"/>
    </row>
    <row r="890">
      <c r="B890" s="14"/>
      <c r="C890" s="15"/>
      <c r="D890" s="15"/>
      <c r="E890" s="16"/>
      <c r="G890" s="17"/>
      <c r="J890" s="10"/>
    </row>
    <row r="891">
      <c r="B891" s="11"/>
      <c r="C891" s="12"/>
      <c r="D891" s="12"/>
      <c r="E891" s="13"/>
      <c r="G891" s="17"/>
      <c r="J891" s="10"/>
    </row>
    <row r="892">
      <c r="B892" s="14"/>
      <c r="C892" s="15"/>
      <c r="D892" s="15"/>
      <c r="E892" s="16"/>
      <c r="G892" s="17"/>
      <c r="J892" s="10"/>
    </row>
    <row r="893">
      <c r="B893" s="11"/>
      <c r="C893" s="12"/>
      <c r="D893" s="12"/>
      <c r="E893" s="13"/>
      <c r="G893" s="17"/>
      <c r="J893" s="10"/>
    </row>
    <row r="894">
      <c r="B894" s="14"/>
      <c r="C894" s="15"/>
      <c r="D894" s="15"/>
      <c r="E894" s="16"/>
      <c r="G894" s="17"/>
      <c r="J894" s="10"/>
    </row>
    <row r="895">
      <c r="B895" s="11"/>
      <c r="C895" s="12"/>
      <c r="D895" s="12"/>
      <c r="E895" s="13"/>
      <c r="G895" s="17"/>
      <c r="J895" s="10"/>
    </row>
    <row r="896">
      <c r="B896" s="14"/>
      <c r="C896" s="15"/>
      <c r="D896" s="15"/>
      <c r="E896" s="16"/>
      <c r="G896" s="17"/>
      <c r="J896" s="10"/>
    </row>
    <row r="897">
      <c r="B897" s="11"/>
      <c r="C897" s="12"/>
      <c r="D897" s="12"/>
      <c r="E897" s="13"/>
      <c r="G897" s="17"/>
      <c r="J897" s="10"/>
    </row>
    <row r="898">
      <c r="B898" s="14"/>
      <c r="C898" s="15"/>
      <c r="D898" s="15"/>
      <c r="E898" s="16"/>
      <c r="G898" s="17"/>
      <c r="J898" s="10"/>
    </row>
    <row r="899">
      <c r="B899" s="11"/>
      <c r="C899" s="12"/>
      <c r="D899" s="12"/>
      <c r="E899" s="13"/>
      <c r="G899" s="17"/>
      <c r="J899" s="10"/>
    </row>
    <row r="900">
      <c r="B900" s="14"/>
      <c r="C900" s="15"/>
      <c r="D900" s="15"/>
      <c r="E900" s="16"/>
      <c r="G900" s="17"/>
      <c r="J900" s="10"/>
    </row>
    <row r="901">
      <c r="B901" s="11"/>
      <c r="C901" s="12"/>
      <c r="D901" s="12"/>
      <c r="E901" s="13"/>
      <c r="G901" s="17"/>
      <c r="J901" s="10"/>
    </row>
    <row r="902">
      <c r="B902" s="14"/>
      <c r="C902" s="15"/>
      <c r="D902" s="15"/>
      <c r="E902" s="16"/>
      <c r="G902" s="17"/>
      <c r="J902" s="10"/>
    </row>
    <row r="903">
      <c r="B903" s="11"/>
      <c r="C903" s="12"/>
      <c r="D903" s="12"/>
      <c r="E903" s="13"/>
      <c r="G903" s="17"/>
      <c r="J903" s="10"/>
    </row>
    <row r="904">
      <c r="B904" s="14"/>
      <c r="C904" s="15"/>
      <c r="D904" s="15"/>
      <c r="E904" s="16"/>
      <c r="G904" s="17"/>
      <c r="J904" s="10"/>
    </row>
    <row r="905">
      <c r="B905" s="11"/>
      <c r="C905" s="12"/>
      <c r="D905" s="12"/>
      <c r="E905" s="13"/>
      <c r="G905" s="17"/>
      <c r="J905" s="10"/>
    </row>
    <row r="906">
      <c r="B906" s="14"/>
      <c r="C906" s="15"/>
      <c r="D906" s="15"/>
      <c r="E906" s="16"/>
      <c r="G906" s="17"/>
      <c r="J906" s="10"/>
    </row>
    <row r="907">
      <c r="B907" s="11"/>
      <c r="C907" s="12"/>
      <c r="D907" s="12"/>
      <c r="E907" s="13"/>
      <c r="G907" s="17"/>
      <c r="J907" s="10"/>
    </row>
    <row r="908">
      <c r="B908" s="14"/>
      <c r="C908" s="15"/>
      <c r="D908" s="15"/>
      <c r="E908" s="16"/>
      <c r="G908" s="17"/>
      <c r="J908" s="10"/>
    </row>
    <row r="909">
      <c r="B909" s="11"/>
      <c r="C909" s="12"/>
      <c r="D909" s="12"/>
      <c r="E909" s="13"/>
      <c r="G909" s="17"/>
      <c r="J909" s="10"/>
    </row>
    <row r="910">
      <c r="B910" s="14"/>
      <c r="C910" s="15"/>
      <c r="D910" s="15"/>
      <c r="E910" s="16"/>
      <c r="G910" s="17"/>
      <c r="J910" s="10"/>
    </row>
    <row r="911">
      <c r="B911" s="11"/>
      <c r="C911" s="12"/>
      <c r="D911" s="12"/>
      <c r="E911" s="13"/>
      <c r="G911" s="17"/>
      <c r="J911" s="10"/>
    </row>
    <row r="912">
      <c r="B912" s="14"/>
      <c r="C912" s="15"/>
      <c r="D912" s="15"/>
      <c r="E912" s="16"/>
      <c r="G912" s="17"/>
      <c r="J912" s="10"/>
    </row>
    <row r="913">
      <c r="B913" s="11"/>
      <c r="C913" s="12"/>
      <c r="D913" s="12"/>
      <c r="E913" s="13"/>
      <c r="G913" s="17"/>
      <c r="J913" s="10"/>
    </row>
    <row r="914">
      <c r="B914" s="14"/>
      <c r="C914" s="15"/>
      <c r="D914" s="15"/>
      <c r="E914" s="16"/>
      <c r="G914" s="17"/>
      <c r="J914" s="10"/>
    </row>
    <row r="915">
      <c r="B915" s="11"/>
      <c r="C915" s="12"/>
      <c r="D915" s="12"/>
      <c r="E915" s="13"/>
      <c r="G915" s="17"/>
      <c r="J915" s="10"/>
    </row>
    <row r="916">
      <c r="B916" s="14"/>
      <c r="C916" s="15"/>
      <c r="D916" s="15"/>
      <c r="E916" s="16"/>
      <c r="G916" s="17"/>
      <c r="J916" s="10"/>
    </row>
    <row r="917">
      <c r="B917" s="11"/>
      <c r="C917" s="12"/>
      <c r="D917" s="12"/>
      <c r="E917" s="13"/>
      <c r="G917" s="17"/>
      <c r="J917" s="10"/>
    </row>
    <row r="918">
      <c r="B918" s="14"/>
      <c r="C918" s="15"/>
      <c r="D918" s="15"/>
      <c r="E918" s="16"/>
      <c r="G918" s="17"/>
      <c r="J918" s="10"/>
    </row>
    <row r="919">
      <c r="B919" s="11"/>
      <c r="C919" s="12"/>
      <c r="D919" s="12"/>
      <c r="E919" s="13"/>
      <c r="G919" s="17"/>
      <c r="J919" s="10"/>
    </row>
    <row r="920">
      <c r="B920" s="14"/>
      <c r="C920" s="15"/>
      <c r="D920" s="15"/>
      <c r="E920" s="16"/>
      <c r="G920" s="17"/>
      <c r="J920" s="10"/>
    </row>
    <row r="921">
      <c r="B921" s="11"/>
      <c r="C921" s="12"/>
      <c r="D921" s="12"/>
      <c r="E921" s="13"/>
      <c r="G921" s="17"/>
      <c r="J921" s="10"/>
    </row>
    <row r="922">
      <c r="B922" s="14"/>
      <c r="C922" s="15"/>
      <c r="D922" s="15"/>
      <c r="E922" s="16"/>
      <c r="G922" s="17"/>
      <c r="J922" s="10"/>
    </row>
    <row r="923">
      <c r="B923" s="11"/>
      <c r="C923" s="12"/>
      <c r="D923" s="12"/>
      <c r="E923" s="13"/>
      <c r="G923" s="17"/>
      <c r="J923" s="10"/>
    </row>
    <row r="924">
      <c r="B924" s="14"/>
      <c r="C924" s="15"/>
      <c r="D924" s="15"/>
      <c r="E924" s="16"/>
      <c r="G924" s="17"/>
      <c r="J924" s="10"/>
    </row>
    <row r="925">
      <c r="B925" s="11"/>
      <c r="C925" s="12"/>
      <c r="D925" s="12"/>
      <c r="E925" s="13"/>
      <c r="G925" s="17"/>
      <c r="J925" s="10"/>
    </row>
    <row r="926">
      <c r="B926" s="14"/>
      <c r="C926" s="15"/>
      <c r="D926" s="15"/>
      <c r="E926" s="16"/>
      <c r="G926" s="17"/>
      <c r="J926" s="10"/>
    </row>
    <row r="927">
      <c r="B927" s="11"/>
      <c r="C927" s="12"/>
      <c r="D927" s="12"/>
      <c r="E927" s="13"/>
      <c r="G927" s="17"/>
      <c r="J927" s="10"/>
    </row>
    <row r="928">
      <c r="B928" s="14"/>
      <c r="C928" s="15"/>
      <c r="D928" s="15"/>
      <c r="E928" s="16"/>
      <c r="G928" s="17"/>
      <c r="J928" s="10"/>
    </row>
    <row r="929">
      <c r="B929" s="11"/>
      <c r="C929" s="12"/>
      <c r="D929" s="12"/>
      <c r="E929" s="13"/>
      <c r="G929" s="17"/>
      <c r="J929" s="10"/>
    </row>
    <row r="930">
      <c r="B930" s="14"/>
      <c r="C930" s="15"/>
      <c r="D930" s="15"/>
      <c r="E930" s="16"/>
      <c r="G930" s="17"/>
      <c r="J930" s="10"/>
    </row>
    <row r="931">
      <c r="B931" s="11"/>
      <c r="C931" s="12"/>
      <c r="D931" s="12"/>
      <c r="E931" s="13"/>
      <c r="G931" s="17"/>
      <c r="J931" s="10"/>
    </row>
    <row r="932">
      <c r="B932" s="14"/>
      <c r="C932" s="15"/>
      <c r="D932" s="15"/>
      <c r="E932" s="16"/>
      <c r="G932" s="17"/>
      <c r="J932" s="10"/>
    </row>
    <row r="933">
      <c r="B933" s="11"/>
      <c r="C933" s="12"/>
      <c r="D933" s="12"/>
      <c r="E933" s="13"/>
      <c r="G933" s="17"/>
      <c r="J933" s="10"/>
    </row>
    <row r="934">
      <c r="B934" s="14"/>
      <c r="C934" s="15"/>
      <c r="D934" s="15"/>
      <c r="E934" s="16"/>
      <c r="G934" s="17"/>
      <c r="J934" s="10"/>
    </row>
    <row r="935">
      <c r="B935" s="11"/>
      <c r="C935" s="12"/>
      <c r="D935" s="12"/>
      <c r="E935" s="13"/>
      <c r="G935" s="17"/>
      <c r="J935" s="10"/>
    </row>
    <row r="936">
      <c r="B936" s="14"/>
      <c r="C936" s="15"/>
      <c r="D936" s="15"/>
      <c r="E936" s="16"/>
      <c r="G936" s="17"/>
      <c r="J936" s="10"/>
    </row>
    <row r="937">
      <c r="B937" s="11"/>
      <c r="C937" s="12"/>
      <c r="D937" s="12"/>
      <c r="E937" s="13"/>
      <c r="G937" s="17"/>
      <c r="J937" s="10"/>
    </row>
    <row r="938">
      <c r="B938" s="14"/>
      <c r="C938" s="15"/>
      <c r="D938" s="15"/>
      <c r="E938" s="16"/>
      <c r="G938" s="17"/>
      <c r="J938" s="10"/>
    </row>
    <row r="939">
      <c r="B939" s="11"/>
      <c r="C939" s="12"/>
      <c r="D939" s="12"/>
      <c r="E939" s="13"/>
      <c r="G939" s="17"/>
      <c r="J939" s="10"/>
    </row>
    <row r="940">
      <c r="B940" s="14"/>
      <c r="C940" s="15"/>
      <c r="D940" s="15"/>
      <c r="E940" s="16"/>
      <c r="G940" s="17"/>
      <c r="J940" s="10"/>
    </row>
    <row r="941">
      <c r="B941" s="11"/>
      <c r="C941" s="12"/>
      <c r="D941" s="12"/>
      <c r="E941" s="13"/>
      <c r="G941" s="17"/>
      <c r="J941" s="10"/>
    </row>
    <row r="942">
      <c r="B942" s="14"/>
      <c r="C942" s="15"/>
      <c r="D942" s="15"/>
      <c r="E942" s="16"/>
      <c r="G942" s="17"/>
      <c r="J942" s="10"/>
    </row>
    <row r="943">
      <c r="B943" s="11"/>
      <c r="C943" s="12"/>
      <c r="D943" s="12"/>
      <c r="E943" s="13"/>
      <c r="G943" s="17"/>
      <c r="J943" s="10"/>
    </row>
    <row r="944">
      <c r="B944" s="14"/>
      <c r="C944" s="15"/>
      <c r="D944" s="15"/>
      <c r="E944" s="16"/>
      <c r="G944" s="17"/>
      <c r="J944" s="10"/>
    </row>
    <row r="945">
      <c r="B945" s="11"/>
      <c r="C945" s="12"/>
      <c r="D945" s="12"/>
      <c r="E945" s="13"/>
      <c r="G945" s="17"/>
      <c r="J945" s="10"/>
    </row>
    <row r="946">
      <c r="B946" s="14"/>
      <c r="C946" s="15"/>
      <c r="D946" s="15"/>
      <c r="E946" s="16"/>
      <c r="G946" s="17"/>
      <c r="J946" s="10"/>
    </row>
    <row r="947">
      <c r="B947" s="11"/>
      <c r="C947" s="12"/>
      <c r="D947" s="12"/>
      <c r="E947" s="13"/>
      <c r="G947" s="17"/>
      <c r="J947" s="10"/>
    </row>
    <row r="948">
      <c r="B948" s="14"/>
      <c r="C948" s="15"/>
      <c r="D948" s="15"/>
      <c r="E948" s="16"/>
      <c r="G948" s="17"/>
      <c r="J948" s="10"/>
    </row>
    <row r="949">
      <c r="B949" s="11"/>
      <c r="C949" s="12"/>
      <c r="D949" s="12"/>
      <c r="E949" s="13"/>
      <c r="G949" s="17"/>
      <c r="J949" s="10"/>
    </row>
    <row r="950">
      <c r="B950" s="14"/>
      <c r="C950" s="15"/>
      <c r="D950" s="15"/>
      <c r="E950" s="16"/>
      <c r="G950" s="17"/>
      <c r="J950" s="10"/>
    </row>
    <row r="951">
      <c r="B951" s="11"/>
      <c r="C951" s="12"/>
      <c r="D951" s="12"/>
      <c r="E951" s="13"/>
      <c r="G951" s="17"/>
      <c r="J951" s="10"/>
    </row>
    <row r="952">
      <c r="B952" s="14"/>
      <c r="C952" s="15"/>
      <c r="D952" s="15"/>
      <c r="E952" s="16"/>
      <c r="G952" s="17"/>
      <c r="J952" s="10"/>
    </row>
    <row r="953">
      <c r="B953" s="11"/>
      <c r="C953" s="12"/>
      <c r="D953" s="12"/>
      <c r="E953" s="13"/>
      <c r="G953" s="17"/>
      <c r="J953" s="10"/>
    </row>
    <row r="954">
      <c r="B954" s="14"/>
      <c r="C954" s="15"/>
      <c r="D954" s="15"/>
      <c r="E954" s="16"/>
      <c r="G954" s="17"/>
      <c r="J954" s="10"/>
    </row>
    <row r="955">
      <c r="B955" s="11"/>
      <c r="C955" s="12"/>
      <c r="D955" s="12"/>
      <c r="E955" s="13"/>
      <c r="G955" s="17"/>
      <c r="J955" s="10"/>
    </row>
    <row r="956">
      <c r="B956" s="14"/>
      <c r="C956" s="15"/>
      <c r="D956" s="15"/>
      <c r="E956" s="16"/>
      <c r="G956" s="17"/>
      <c r="J956" s="10"/>
    </row>
    <row r="957">
      <c r="B957" s="11"/>
      <c r="C957" s="12"/>
      <c r="D957" s="12"/>
      <c r="E957" s="13"/>
      <c r="G957" s="17"/>
      <c r="J957" s="10"/>
    </row>
    <row r="958">
      <c r="B958" s="14"/>
      <c r="C958" s="15"/>
      <c r="D958" s="15"/>
      <c r="E958" s="16"/>
      <c r="G958" s="17"/>
      <c r="J958" s="10"/>
    </row>
    <row r="959">
      <c r="B959" s="11"/>
      <c r="C959" s="12"/>
      <c r="D959" s="12"/>
      <c r="E959" s="13"/>
      <c r="G959" s="17"/>
      <c r="J959" s="10"/>
    </row>
    <row r="960">
      <c r="B960" s="14"/>
      <c r="C960" s="15"/>
      <c r="D960" s="15"/>
      <c r="E960" s="16"/>
      <c r="G960" s="17"/>
      <c r="J960" s="10"/>
    </row>
    <row r="961">
      <c r="B961" s="11"/>
      <c r="C961" s="12"/>
      <c r="D961" s="12"/>
      <c r="E961" s="13"/>
      <c r="G961" s="17"/>
      <c r="J961" s="10"/>
    </row>
    <row r="962">
      <c r="B962" s="14"/>
      <c r="C962" s="15"/>
      <c r="D962" s="15"/>
      <c r="E962" s="16"/>
      <c r="G962" s="17"/>
      <c r="J962" s="10"/>
    </row>
    <row r="963">
      <c r="B963" s="11"/>
      <c r="C963" s="12"/>
      <c r="D963" s="12"/>
      <c r="E963" s="13"/>
      <c r="G963" s="17"/>
      <c r="J963" s="10"/>
    </row>
    <row r="964">
      <c r="B964" s="14"/>
      <c r="C964" s="15"/>
      <c r="D964" s="15"/>
      <c r="E964" s="16"/>
      <c r="G964" s="17"/>
      <c r="J964" s="10"/>
    </row>
    <row r="965">
      <c r="B965" s="11"/>
      <c r="C965" s="12"/>
      <c r="D965" s="12"/>
      <c r="E965" s="13"/>
      <c r="G965" s="17"/>
      <c r="J965" s="10"/>
    </row>
    <row r="966">
      <c r="B966" s="14"/>
      <c r="C966" s="15"/>
      <c r="D966" s="15"/>
      <c r="E966" s="16"/>
      <c r="G966" s="17"/>
      <c r="J966" s="10"/>
    </row>
    <row r="967">
      <c r="B967" s="11"/>
      <c r="C967" s="12"/>
      <c r="D967" s="12"/>
      <c r="E967" s="13"/>
      <c r="G967" s="17"/>
      <c r="J967" s="10"/>
    </row>
    <row r="968">
      <c r="B968" s="14"/>
      <c r="C968" s="15"/>
      <c r="D968" s="15"/>
      <c r="E968" s="16"/>
      <c r="G968" s="17"/>
      <c r="J968" s="10"/>
    </row>
    <row r="969">
      <c r="B969" s="11"/>
      <c r="C969" s="12"/>
      <c r="D969" s="12"/>
      <c r="E969" s="13"/>
      <c r="G969" s="17"/>
      <c r="J969" s="10"/>
    </row>
    <row r="970">
      <c r="B970" s="14"/>
      <c r="C970" s="15"/>
      <c r="D970" s="15"/>
      <c r="E970" s="16"/>
      <c r="G970" s="17"/>
      <c r="J970" s="10"/>
    </row>
    <row r="971">
      <c r="B971" s="11"/>
      <c r="C971" s="12"/>
      <c r="D971" s="12"/>
      <c r="E971" s="13"/>
      <c r="G971" s="17"/>
      <c r="J971" s="10"/>
    </row>
    <row r="972">
      <c r="B972" s="14"/>
      <c r="C972" s="15"/>
      <c r="D972" s="15"/>
      <c r="E972" s="16"/>
      <c r="G972" s="17"/>
      <c r="J972" s="10"/>
    </row>
    <row r="973">
      <c r="B973" s="11"/>
      <c r="C973" s="12"/>
      <c r="D973" s="12"/>
      <c r="E973" s="13"/>
      <c r="G973" s="17"/>
      <c r="J973" s="10"/>
    </row>
    <row r="974">
      <c r="B974" s="14"/>
      <c r="C974" s="15"/>
      <c r="D974" s="15"/>
      <c r="E974" s="16"/>
      <c r="G974" s="17"/>
      <c r="J974" s="10"/>
    </row>
    <row r="975">
      <c r="B975" s="11"/>
      <c r="C975" s="12"/>
      <c r="D975" s="12"/>
      <c r="E975" s="13"/>
      <c r="G975" s="17"/>
      <c r="J975" s="10"/>
    </row>
    <row r="976">
      <c r="B976" s="14"/>
      <c r="C976" s="15"/>
      <c r="D976" s="15"/>
      <c r="E976" s="16"/>
      <c r="G976" s="17"/>
      <c r="J976" s="10"/>
    </row>
    <row r="977">
      <c r="B977" s="11"/>
      <c r="C977" s="12"/>
      <c r="D977" s="12"/>
      <c r="E977" s="13"/>
      <c r="G977" s="17"/>
      <c r="J977" s="10"/>
    </row>
    <row r="978">
      <c r="B978" s="14"/>
      <c r="C978" s="15"/>
      <c r="D978" s="15"/>
      <c r="E978" s="16"/>
      <c r="G978" s="17"/>
      <c r="J978" s="10"/>
    </row>
    <row r="979">
      <c r="B979" s="11"/>
      <c r="C979" s="12"/>
      <c r="D979" s="12"/>
      <c r="E979" s="13"/>
      <c r="G979" s="17"/>
      <c r="J979" s="10"/>
    </row>
    <row r="980">
      <c r="B980" s="14"/>
      <c r="C980" s="15"/>
      <c r="D980" s="15"/>
      <c r="E980" s="16"/>
      <c r="G980" s="17"/>
      <c r="J980" s="10"/>
    </row>
    <row r="981">
      <c r="B981" s="11"/>
      <c r="C981" s="12"/>
      <c r="D981" s="12"/>
      <c r="E981" s="13"/>
      <c r="G981" s="17"/>
      <c r="J981" s="10"/>
    </row>
    <row r="982">
      <c r="B982" s="14"/>
      <c r="C982" s="15"/>
      <c r="D982" s="15"/>
      <c r="E982" s="16"/>
      <c r="G982" s="17"/>
      <c r="J982" s="10"/>
    </row>
    <row r="983">
      <c r="B983" s="11"/>
      <c r="C983" s="12"/>
      <c r="D983" s="12"/>
      <c r="E983" s="13"/>
      <c r="G983" s="17"/>
      <c r="J983" s="10"/>
    </row>
    <row r="984">
      <c r="B984" s="14"/>
      <c r="C984" s="15"/>
      <c r="D984" s="15"/>
      <c r="E984" s="16"/>
      <c r="G984" s="17"/>
      <c r="J984" s="10"/>
    </row>
    <row r="985">
      <c r="B985" s="11"/>
      <c r="C985" s="12"/>
      <c r="D985" s="12"/>
      <c r="E985" s="13"/>
      <c r="G985" s="17"/>
      <c r="J985" s="10"/>
    </row>
    <row r="986">
      <c r="B986" s="14"/>
      <c r="C986" s="15"/>
      <c r="D986" s="15"/>
      <c r="E986" s="16"/>
      <c r="G986" s="17"/>
      <c r="J986" s="10"/>
    </row>
    <row r="987">
      <c r="B987" s="11"/>
      <c r="C987" s="12"/>
      <c r="D987" s="12"/>
      <c r="E987" s="13"/>
      <c r="G987" s="17"/>
      <c r="J987" s="10"/>
    </row>
    <row r="988">
      <c r="B988" s="14"/>
      <c r="C988" s="15"/>
      <c r="D988" s="15"/>
      <c r="E988" s="16"/>
      <c r="G988" s="17"/>
      <c r="J988" s="10"/>
    </row>
    <row r="989">
      <c r="B989" s="11"/>
      <c r="C989" s="12"/>
      <c r="D989" s="12"/>
      <c r="E989" s="13"/>
      <c r="G989" s="17"/>
      <c r="J989" s="10"/>
    </row>
    <row r="990">
      <c r="B990" s="14"/>
      <c r="C990" s="15"/>
      <c r="D990" s="15"/>
      <c r="E990" s="16"/>
      <c r="G990" s="17"/>
      <c r="J990" s="10"/>
    </row>
    <row r="991">
      <c r="B991" s="11"/>
      <c r="C991" s="12"/>
      <c r="D991" s="12"/>
      <c r="E991" s="13"/>
      <c r="G991" s="17"/>
      <c r="J991" s="10"/>
    </row>
    <row r="992">
      <c r="B992" s="14"/>
      <c r="C992" s="15"/>
      <c r="D992" s="15"/>
      <c r="E992" s="16"/>
      <c r="G992" s="17"/>
      <c r="J992" s="10"/>
    </row>
    <row r="993">
      <c r="B993" s="11"/>
      <c r="C993" s="12"/>
      <c r="D993" s="12"/>
      <c r="E993" s="13"/>
      <c r="G993" s="17"/>
      <c r="J993" s="10"/>
    </row>
    <row r="994">
      <c r="B994" s="14"/>
      <c r="C994" s="15"/>
      <c r="D994" s="15"/>
      <c r="E994" s="16"/>
      <c r="G994" s="17"/>
      <c r="J994" s="10"/>
    </row>
    <row r="995">
      <c r="B995" s="11"/>
      <c r="C995" s="12"/>
      <c r="D995" s="12"/>
      <c r="E995" s="13"/>
      <c r="G995" s="17"/>
      <c r="J995" s="10"/>
    </row>
    <row r="996">
      <c r="B996" s="14"/>
      <c r="C996" s="15"/>
      <c r="D996" s="15"/>
      <c r="E996" s="16"/>
      <c r="G996" s="17"/>
      <c r="J996" s="10"/>
    </row>
    <row r="997">
      <c r="B997" s="11"/>
      <c r="C997" s="12"/>
      <c r="D997" s="12"/>
      <c r="E997" s="13"/>
      <c r="G997" s="17"/>
      <c r="J997" s="10"/>
    </row>
    <row r="998">
      <c r="B998" s="14"/>
      <c r="C998" s="15"/>
      <c r="D998" s="15"/>
      <c r="E998" s="16"/>
      <c r="G998" s="17"/>
      <c r="J998" s="10"/>
    </row>
    <row r="999">
      <c r="B999" s="11"/>
      <c r="C999" s="12"/>
      <c r="D999" s="12"/>
      <c r="E999" s="13"/>
      <c r="G999" s="17"/>
      <c r="J999" s="10"/>
    </row>
    <row r="1000">
      <c r="B1000" s="14"/>
      <c r="C1000" s="15"/>
      <c r="D1000" s="15"/>
      <c r="E1000" s="16"/>
      <c r="G1000" s="17"/>
      <c r="J1000" s="10"/>
    </row>
    <row r="1001">
      <c r="B1001" s="11"/>
      <c r="C1001" s="12"/>
      <c r="D1001" s="12"/>
      <c r="E1001" s="13"/>
      <c r="G1001" s="17"/>
      <c r="J1001" s="10"/>
    </row>
    <row r="1002">
      <c r="B1002" s="14"/>
      <c r="C1002" s="15"/>
      <c r="D1002" s="15"/>
      <c r="E1002" s="16"/>
      <c r="G1002" s="17"/>
      <c r="J1002" s="10"/>
    </row>
    <row r="1003">
      <c r="B1003" s="11"/>
      <c r="C1003" s="12"/>
      <c r="D1003" s="12"/>
      <c r="E1003" s="13"/>
      <c r="G1003" s="17"/>
      <c r="J1003" s="10"/>
    </row>
    <row r="1004">
      <c r="B1004" s="14"/>
      <c r="C1004" s="15"/>
      <c r="D1004" s="15"/>
      <c r="E1004" s="16"/>
      <c r="G1004" s="17"/>
      <c r="J1004" s="10"/>
    </row>
    <row r="1005">
      <c r="B1005" s="11"/>
      <c r="C1005" s="12"/>
      <c r="D1005" s="12"/>
      <c r="E1005" s="13"/>
      <c r="G1005" s="17"/>
      <c r="J1005" s="10"/>
    </row>
    <row r="1006">
      <c r="B1006" s="14"/>
      <c r="C1006" s="15"/>
      <c r="D1006" s="15"/>
      <c r="E1006" s="16"/>
      <c r="G1006" s="17"/>
      <c r="J1006" s="10"/>
    </row>
    <row r="1007">
      <c r="B1007" s="11"/>
      <c r="C1007" s="12"/>
      <c r="D1007" s="12"/>
      <c r="E1007" s="13"/>
      <c r="G1007" s="17"/>
      <c r="J1007" s="10"/>
    </row>
    <row r="1008">
      <c r="B1008" s="14"/>
      <c r="C1008" s="15"/>
      <c r="D1008" s="15"/>
      <c r="E1008" s="16"/>
      <c r="G1008" s="17"/>
      <c r="J1008" s="10"/>
    </row>
    <row r="1009">
      <c r="B1009" s="11"/>
      <c r="C1009" s="12"/>
      <c r="D1009" s="12"/>
      <c r="E1009" s="13"/>
      <c r="G1009" s="17"/>
      <c r="J1009" s="10"/>
    </row>
    <row r="1010">
      <c r="B1010" s="14"/>
      <c r="C1010" s="15"/>
      <c r="D1010" s="15"/>
      <c r="E1010" s="16"/>
      <c r="G1010" s="17"/>
      <c r="J1010" s="10"/>
    </row>
    <row r="1011">
      <c r="B1011" s="11"/>
      <c r="C1011" s="12"/>
      <c r="D1011" s="12"/>
      <c r="E1011" s="13"/>
      <c r="G1011" s="17"/>
      <c r="J1011" s="10"/>
    </row>
    <row r="1012">
      <c r="B1012" s="14"/>
      <c r="C1012" s="15"/>
      <c r="D1012" s="15"/>
      <c r="E1012" s="16"/>
      <c r="G1012" s="17"/>
      <c r="J1012" s="10"/>
    </row>
    <row r="1013">
      <c r="B1013" s="11"/>
      <c r="C1013" s="12"/>
      <c r="D1013" s="12"/>
      <c r="E1013" s="13"/>
      <c r="G1013" s="17"/>
      <c r="J1013" s="10"/>
    </row>
    <row r="1014">
      <c r="B1014" s="14"/>
      <c r="C1014" s="15"/>
      <c r="D1014" s="15"/>
      <c r="E1014" s="16"/>
      <c r="G1014" s="17"/>
      <c r="J1014" s="10"/>
    </row>
    <row r="1015">
      <c r="B1015" s="11"/>
      <c r="C1015" s="12"/>
      <c r="D1015" s="12"/>
      <c r="E1015" s="13"/>
      <c r="G1015" s="17"/>
      <c r="J1015" s="10"/>
    </row>
    <row r="1016">
      <c r="B1016" s="14"/>
      <c r="C1016" s="15"/>
      <c r="D1016" s="15"/>
      <c r="E1016" s="16"/>
      <c r="G1016" s="17"/>
      <c r="J1016" s="10"/>
    </row>
    <row r="1017">
      <c r="B1017" s="11"/>
      <c r="C1017" s="12"/>
      <c r="D1017" s="12"/>
      <c r="E1017" s="13"/>
      <c r="G1017" s="17"/>
      <c r="J1017" s="10"/>
    </row>
    <row r="1018">
      <c r="B1018" s="14"/>
      <c r="C1018" s="15"/>
      <c r="D1018" s="15"/>
      <c r="E1018" s="16"/>
      <c r="G1018" s="17"/>
      <c r="J1018" s="10"/>
    </row>
    <row r="1019">
      <c r="B1019" s="11"/>
      <c r="C1019" s="12"/>
      <c r="D1019" s="12"/>
      <c r="E1019" s="13"/>
      <c r="G1019" s="17"/>
      <c r="J1019" s="10"/>
    </row>
    <row r="1020">
      <c r="B1020" s="14"/>
      <c r="C1020" s="15"/>
      <c r="D1020" s="15"/>
      <c r="E1020" s="16"/>
      <c r="G1020" s="17"/>
      <c r="J1020" s="10"/>
    </row>
    <row r="1021">
      <c r="B1021" s="11"/>
      <c r="C1021" s="12"/>
      <c r="D1021" s="12"/>
      <c r="E1021" s="13"/>
      <c r="G1021" s="17"/>
      <c r="J1021" s="10"/>
    </row>
    <row r="1022">
      <c r="B1022" s="14"/>
      <c r="C1022" s="15"/>
      <c r="D1022" s="15"/>
      <c r="E1022" s="16"/>
      <c r="G1022" s="17"/>
      <c r="J1022" s="10"/>
    </row>
    <row r="1023">
      <c r="B1023" s="11"/>
      <c r="C1023" s="12"/>
      <c r="D1023" s="12"/>
      <c r="E1023" s="13"/>
      <c r="G1023" s="17"/>
      <c r="J1023" s="10"/>
    </row>
    <row r="1024">
      <c r="B1024" s="14"/>
      <c r="C1024" s="15"/>
      <c r="D1024" s="15"/>
      <c r="E1024" s="16"/>
      <c r="G1024" s="17"/>
      <c r="J1024" s="10"/>
    </row>
    <row r="1025">
      <c r="B1025" s="11"/>
      <c r="C1025" s="12"/>
      <c r="D1025" s="12"/>
      <c r="E1025" s="13"/>
      <c r="G1025" s="17"/>
      <c r="J1025" s="10"/>
    </row>
    <row r="1026">
      <c r="B1026" s="14"/>
      <c r="C1026" s="15"/>
      <c r="D1026" s="15"/>
      <c r="E1026" s="16"/>
      <c r="G1026" s="17"/>
      <c r="J1026" s="10"/>
    </row>
    <row r="1027">
      <c r="B1027" s="11"/>
      <c r="C1027" s="12"/>
      <c r="D1027" s="12"/>
      <c r="E1027" s="13"/>
      <c r="G1027" s="17"/>
      <c r="J1027" s="10"/>
    </row>
    <row r="1028">
      <c r="B1028" s="14"/>
      <c r="C1028" s="15"/>
      <c r="D1028" s="15"/>
      <c r="E1028" s="16"/>
      <c r="G1028" s="17"/>
      <c r="J1028" s="10"/>
    </row>
    <row r="1029">
      <c r="B1029" s="11"/>
      <c r="C1029" s="12"/>
      <c r="D1029" s="12"/>
      <c r="E1029" s="13"/>
      <c r="G1029" s="17"/>
      <c r="J1029" s="10"/>
    </row>
    <row r="1030">
      <c r="B1030" s="14"/>
      <c r="C1030" s="15"/>
      <c r="D1030" s="15"/>
      <c r="E1030" s="16"/>
      <c r="G1030" s="17"/>
      <c r="J1030" s="10"/>
    </row>
    <row r="1031">
      <c r="B1031" s="11"/>
      <c r="C1031" s="12"/>
      <c r="D1031" s="12"/>
      <c r="E1031" s="13"/>
      <c r="G1031" s="17"/>
      <c r="J1031" s="10"/>
    </row>
    <row r="1032">
      <c r="B1032" s="14"/>
      <c r="C1032" s="15"/>
      <c r="D1032" s="15"/>
      <c r="E1032" s="16"/>
      <c r="G1032" s="17"/>
      <c r="J1032" s="10"/>
    </row>
    <row r="1033">
      <c r="B1033" s="11"/>
      <c r="C1033" s="12"/>
      <c r="D1033" s="12"/>
      <c r="E1033" s="13"/>
      <c r="G1033" s="17"/>
      <c r="J1033" s="10"/>
    </row>
    <row r="1034">
      <c r="B1034" s="14"/>
      <c r="C1034" s="15"/>
      <c r="D1034" s="15"/>
      <c r="E1034" s="16"/>
      <c r="G1034" s="17"/>
      <c r="J1034" s="10"/>
    </row>
    <row r="1035">
      <c r="B1035" s="11"/>
      <c r="C1035" s="12"/>
      <c r="D1035" s="12"/>
      <c r="E1035" s="13"/>
      <c r="G1035" s="17"/>
      <c r="J1035" s="10"/>
    </row>
    <row r="1036">
      <c r="B1036" s="14"/>
      <c r="C1036" s="15"/>
      <c r="D1036" s="15"/>
      <c r="E1036" s="16"/>
      <c r="G1036" s="17"/>
      <c r="J1036" s="10"/>
    </row>
    <row r="1037">
      <c r="B1037" s="11"/>
      <c r="C1037" s="12"/>
      <c r="D1037" s="12"/>
      <c r="E1037" s="13"/>
      <c r="G1037" s="17"/>
      <c r="J1037" s="10"/>
    </row>
    <row r="1038">
      <c r="B1038" s="14"/>
      <c r="C1038" s="15"/>
      <c r="D1038" s="15"/>
      <c r="E1038" s="16"/>
      <c r="G1038" s="17"/>
      <c r="J1038" s="10"/>
    </row>
    <row r="1039">
      <c r="B1039" s="11"/>
      <c r="C1039" s="12"/>
      <c r="D1039" s="12"/>
      <c r="E1039" s="13"/>
      <c r="G1039" s="17"/>
      <c r="J1039" s="10"/>
    </row>
    <row r="1040">
      <c r="B1040" s="14"/>
      <c r="C1040" s="15"/>
      <c r="D1040" s="15"/>
      <c r="E1040" s="16"/>
      <c r="G1040" s="17"/>
      <c r="J1040" s="10"/>
    </row>
    <row r="1041">
      <c r="B1041" s="11"/>
      <c r="C1041" s="12"/>
      <c r="D1041" s="12"/>
      <c r="E1041" s="13"/>
      <c r="G1041" s="17"/>
      <c r="J1041" s="10"/>
    </row>
    <row r="1042">
      <c r="B1042" s="14"/>
      <c r="C1042" s="15"/>
      <c r="D1042" s="15"/>
      <c r="E1042" s="16"/>
      <c r="G1042" s="17"/>
      <c r="J1042" s="10"/>
    </row>
    <row r="1043">
      <c r="B1043" s="11"/>
      <c r="C1043" s="12"/>
      <c r="D1043" s="12"/>
      <c r="E1043" s="13"/>
      <c r="G1043" s="17"/>
      <c r="J1043" s="10"/>
    </row>
    <row r="1044">
      <c r="B1044" s="14"/>
      <c r="C1044" s="15"/>
      <c r="D1044" s="15"/>
      <c r="E1044" s="16"/>
      <c r="G1044" s="17"/>
      <c r="J1044" s="10"/>
    </row>
    <row r="1045">
      <c r="B1045" s="11"/>
      <c r="C1045" s="12"/>
      <c r="D1045" s="12"/>
      <c r="E1045" s="13"/>
      <c r="G1045" s="17"/>
      <c r="J1045" s="10"/>
    </row>
    <row r="1046">
      <c r="B1046" s="14"/>
      <c r="C1046" s="15"/>
      <c r="D1046" s="15"/>
      <c r="E1046" s="16"/>
      <c r="G1046" s="17"/>
      <c r="J1046" s="10"/>
    </row>
    <row r="1047">
      <c r="B1047" s="11"/>
      <c r="C1047" s="12"/>
      <c r="D1047" s="12"/>
      <c r="E1047" s="13"/>
      <c r="G1047" s="17"/>
      <c r="J1047" s="10"/>
    </row>
    <row r="1048">
      <c r="B1048" s="14"/>
      <c r="C1048" s="15"/>
      <c r="D1048" s="15"/>
      <c r="E1048" s="16"/>
      <c r="G1048" s="17"/>
      <c r="J1048" s="10"/>
    </row>
    <row r="1049">
      <c r="B1049" s="11"/>
      <c r="C1049" s="12"/>
      <c r="D1049" s="12"/>
      <c r="E1049" s="13"/>
      <c r="G1049" s="17"/>
      <c r="J1049" s="10"/>
    </row>
    <row r="1050">
      <c r="B1050" s="14"/>
      <c r="C1050" s="15"/>
      <c r="D1050" s="15"/>
      <c r="E1050" s="16"/>
      <c r="G1050" s="17"/>
      <c r="J1050" s="10"/>
    </row>
    <row r="1051">
      <c r="B1051" s="11"/>
      <c r="C1051" s="12"/>
      <c r="D1051" s="12"/>
      <c r="E1051" s="13"/>
      <c r="G1051" s="17"/>
      <c r="J1051" s="10"/>
    </row>
    <row r="1052">
      <c r="B1052" s="14"/>
      <c r="C1052" s="15"/>
      <c r="D1052" s="15"/>
      <c r="E1052" s="16"/>
      <c r="G1052" s="17"/>
      <c r="J1052" s="10"/>
    </row>
    <row r="1053">
      <c r="B1053" s="11"/>
      <c r="C1053" s="12"/>
      <c r="D1053" s="12"/>
      <c r="E1053" s="13"/>
      <c r="G1053" s="17"/>
      <c r="J1053" s="10"/>
    </row>
    <row r="1054">
      <c r="B1054" s="14"/>
      <c r="C1054" s="15"/>
      <c r="D1054" s="15"/>
      <c r="E1054" s="16"/>
      <c r="G1054" s="17"/>
      <c r="J1054" s="10"/>
    </row>
    <row r="1055">
      <c r="B1055" s="11"/>
      <c r="C1055" s="12"/>
      <c r="D1055" s="12"/>
      <c r="E1055" s="13"/>
      <c r="G1055" s="17"/>
      <c r="J1055" s="10"/>
    </row>
    <row r="1056">
      <c r="B1056" s="14"/>
      <c r="C1056" s="15"/>
      <c r="D1056" s="15"/>
      <c r="E1056" s="16"/>
      <c r="G1056" s="17"/>
      <c r="J1056" s="10"/>
    </row>
    <row r="1057">
      <c r="B1057" s="11"/>
      <c r="C1057" s="12"/>
      <c r="D1057" s="12"/>
      <c r="E1057" s="13"/>
      <c r="G1057" s="17"/>
      <c r="J1057" s="10"/>
    </row>
    <row r="1058">
      <c r="B1058" s="14"/>
      <c r="C1058" s="15"/>
      <c r="D1058" s="15"/>
      <c r="E1058" s="16"/>
      <c r="G1058" s="17"/>
      <c r="J1058" s="10"/>
    </row>
    <row r="1059">
      <c r="B1059" s="11"/>
      <c r="C1059" s="12"/>
      <c r="D1059" s="12"/>
      <c r="E1059" s="13"/>
      <c r="G1059" s="17"/>
      <c r="J1059" s="10"/>
    </row>
    <row r="1060">
      <c r="B1060" s="14"/>
      <c r="C1060" s="15"/>
      <c r="D1060" s="15"/>
      <c r="E1060" s="16"/>
      <c r="G1060" s="17"/>
      <c r="J1060" s="10"/>
    </row>
    <row r="1061">
      <c r="B1061" s="11"/>
      <c r="C1061" s="12"/>
      <c r="D1061" s="12"/>
      <c r="E1061" s="13"/>
      <c r="G1061" s="17"/>
      <c r="J1061" s="10"/>
    </row>
    <row r="1062">
      <c r="B1062" s="14"/>
      <c r="C1062" s="15"/>
      <c r="D1062" s="15"/>
      <c r="E1062" s="16"/>
      <c r="G1062" s="17"/>
      <c r="J1062" s="10"/>
    </row>
    <row r="1063">
      <c r="B1063" s="11"/>
      <c r="C1063" s="12"/>
      <c r="D1063" s="12"/>
      <c r="E1063" s="13"/>
      <c r="G1063" s="17"/>
      <c r="J1063" s="10"/>
    </row>
    <row r="1064">
      <c r="B1064" s="14"/>
      <c r="C1064" s="15"/>
      <c r="D1064" s="15"/>
      <c r="E1064" s="16"/>
      <c r="G1064" s="17"/>
      <c r="J1064" s="10"/>
    </row>
    <row r="1065">
      <c r="B1065" s="11"/>
      <c r="C1065" s="12"/>
      <c r="D1065" s="12"/>
      <c r="E1065" s="13"/>
      <c r="G1065" s="17"/>
      <c r="J1065" s="10"/>
    </row>
    <row r="1066">
      <c r="B1066" s="14"/>
      <c r="C1066" s="15"/>
      <c r="D1066" s="15"/>
      <c r="E1066" s="16"/>
      <c r="G1066" s="17"/>
      <c r="J1066" s="10"/>
    </row>
    <row r="1067">
      <c r="B1067" s="11"/>
      <c r="C1067" s="12"/>
      <c r="D1067" s="12"/>
      <c r="E1067" s="13"/>
      <c r="G1067" s="17"/>
      <c r="J1067" s="10"/>
    </row>
    <row r="1068">
      <c r="B1068" s="14"/>
      <c r="C1068" s="15"/>
      <c r="D1068" s="15"/>
      <c r="E1068" s="16"/>
      <c r="G1068" s="17"/>
      <c r="J1068" s="10"/>
    </row>
    <row r="1069">
      <c r="B1069" s="11"/>
      <c r="C1069" s="12"/>
      <c r="D1069" s="12"/>
      <c r="E1069" s="13"/>
      <c r="G1069" s="17"/>
      <c r="J1069" s="10"/>
    </row>
    <row r="1070">
      <c r="B1070" s="14"/>
      <c r="C1070" s="15"/>
      <c r="D1070" s="15"/>
      <c r="E1070" s="16"/>
      <c r="G1070" s="17"/>
      <c r="J1070" s="10"/>
    </row>
    <row r="1071">
      <c r="B1071" s="11"/>
      <c r="C1071" s="12"/>
      <c r="D1071" s="12"/>
      <c r="E1071" s="13"/>
      <c r="G1071" s="17"/>
      <c r="J1071" s="10"/>
    </row>
    <row r="1072">
      <c r="B1072" s="14"/>
      <c r="C1072" s="15"/>
      <c r="D1072" s="15"/>
      <c r="E1072" s="16"/>
      <c r="G1072" s="17"/>
      <c r="J1072" s="10"/>
    </row>
    <row r="1073">
      <c r="B1073" s="11"/>
      <c r="C1073" s="12"/>
      <c r="D1073" s="12"/>
      <c r="E1073" s="13"/>
      <c r="G1073" s="17"/>
      <c r="J1073" s="10"/>
    </row>
    <row r="1074">
      <c r="B1074" s="14"/>
      <c r="C1074" s="15"/>
      <c r="D1074" s="15"/>
      <c r="E1074" s="16"/>
      <c r="G1074" s="17"/>
      <c r="J1074" s="10"/>
    </row>
    <row r="1075">
      <c r="B1075" s="11"/>
      <c r="C1075" s="12"/>
      <c r="D1075" s="12"/>
      <c r="E1075" s="13"/>
      <c r="G1075" s="17"/>
      <c r="J1075" s="10"/>
    </row>
    <row r="1076">
      <c r="B1076" s="14"/>
      <c r="C1076" s="15"/>
      <c r="D1076" s="15"/>
      <c r="E1076" s="16"/>
      <c r="G1076" s="17"/>
      <c r="J1076" s="10"/>
    </row>
    <row r="1077">
      <c r="B1077" s="11"/>
      <c r="C1077" s="12"/>
      <c r="D1077" s="12"/>
      <c r="E1077" s="13"/>
      <c r="G1077" s="17"/>
      <c r="J1077" s="10"/>
    </row>
    <row r="1078">
      <c r="B1078" s="14"/>
      <c r="C1078" s="15"/>
      <c r="D1078" s="15"/>
      <c r="E1078" s="16"/>
      <c r="G1078" s="17"/>
      <c r="J1078" s="10"/>
    </row>
    <row r="1079">
      <c r="B1079" s="11"/>
      <c r="C1079" s="12"/>
      <c r="D1079" s="12"/>
      <c r="E1079" s="13"/>
      <c r="G1079" s="17"/>
      <c r="J1079" s="10"/>
    </row>
    <row r="1080">
      <c r="B1080" s="14"/>
      <c r="C1080" s="15"/>
      <c r="D1080" s="15"/>
      <c r="E1080" s="16"/>
      <c r="G1080" s="17"/>
      <c r="J1080" s="10"/>
    </row>
    <row r="1081">
      <c r="B1081" s="11"/>
      <c r="C1081" s="12"/>
      <c r="D1081" s="12"/>
      <c r="E1081" s="13"/>
      <c r="G1081" s="17"/>
      <c r="J1081" s="10"/>
    </row>
    <row r="1082">
      <c r="B1082" s="14"/>
      <c r="C1082" s="15"/>
      <c r="D1082" s="15"/>
      <c r="E1082" s="16"/>
      <c r="G1082" s="17"/>
      <c r="J1082" s="10"/>
    </row>
    <row r="1083">
      <c r="B1083" s="11"/>
      <c r="C1083" s="12"/>
      <c r="D1083" s="12"/>
      <c r="E1083" s="13"/>
      <c r="G1083" s="17"/>
      <c r="J1083" s="10"/>
    </row>
    <row r="1084">
      <c r="B1084" s="14"/>
      <c r="C1084" s="15"/>
      <c r="D1084" s="15"/>
      <c r="E1084" s="16"/>
      <c r="G1084" s="17"/>
      <c r="J1084" s="10"/>
    </row>
    <row r="1085">
      <c r="B1085" s="11"/>
      <c r="C1085" s="12"/>
      <c r="D1085" s="12"/>
      <c r="E1085" s="13"/>
      <c r="G1085" s="17"/>
      <c r="J1085" s="10"/>
    </row>
    <row r="1086">
      <c r="B1086" s="14"/>
      <c r="C1086" s="15"/>
      <c r="D1086" s="15"/>
      <c r="E1086" s="16"/>
      <c r="G1086" s="17"/>
      <c r="J1086" s="10"/>
    </row>
    <row r="1087">
      <c r="B1087" s="11"/>
      <c r="C1087" s="12"/>
      <c r="D1087" s="12"/>
      <c r="E1087" s="13"/>
      <c r="G1087" s="17"/>
      <c r="J1087" s="10"/>
    </row>
    <row r="1088">
      <c r="B1088" s="14"/>
      <c r="C1088" s="15"/>
      <c r="D1088" s="15"/>
      <c r="E1088" s="16"/>
      <c r="G1088" s="17"/>
      <c r="J1088" s="10"/>
    </row>
    <row r="1089">
      <c r="B1089" s="11"/>
      <c r="C1089" s="12"/>
      <c r="D1089" s="12"/>
      <c r="E1089" s="13"/>
      <c r="G1089" s="17"/>
      <c r="J1089" s="10"/>
    </row>
    <row r="1090">
      <c r="B1090" s="14"/>
      <c r="C1090" s="15"/>
      <c r="D1090" s="15"/>
      <c r="E1090" s="16"/>
      <c r="G1090" s="17"/>
      <c r="J1090" s="10"/>
    </row>
    <row r="1091">
      <c r="B1091" s="11"/>
      <c r="C1091" s="12"/>
      <c r="D1091" s="12"/>
      <c r="E1091" s="13"/>
      <c r="G1091" s="17"/>
      <c r="J1091" s="10"/>
    </row>
    <row r="1092">
      <c r="B1092" s="14"/>
      <c r="C1092" s="15"/>
      <c r="D1092" s="15"/>
      <c r="E1092" s="16"/>
      <c r="G1092" s="17"/>
      <c r="J1092" s="10"/>
    </row>
    <row r="1093">
      <c r="B1093" s="11"/>
      <c r="C1093" s="12"/>
      <c r="D1093" s="12"/>
      <c r="E1093" s="13"/>
      <c r="G1093" s="17"/>
      <c r="J1093" s="10"/>
    </row>
    <row r="1094">
      <c r="B1094" s="14"/>
      <c r="C1094" s="15"/>
      <c r="D1094" s="15"/>
      <c r="E1094" s="16"/>
      <c r="G1094" s="17"/>
      <c r="J1094" s="10"/>
    </row>
    <row r="1095">
      <c r="B1095" s="11"/>
      <c r="C1095" s="12"/>
      <c r="D1095" s="12"/>
      <c r="E1095" s="13"/>
      <c r="G1095" s="17"/>
      <c r="J1095" s="10"/>
    </row>
    <row r="1096">
      <c r="B1096" s="14"/>
      <c r="C1096" s="15"/>
      <c r="D1096" s="15"/>
      <c r="E1096" s="16"/>
      <c r="G1096" s="17"/>
      <c r="J1096" s="10"/>
    </row>
    <row r="1097">
      <c r="B1097" s="11"/>
      <c r="C1097" s="12"/>
      <c r="D1097" s="12"/>
      <c r="E1097" s="13"/>
      <c r="G1097" s="17"/>
      <c r="J1097" s="10"/>
    </row>
    <row r="1098">
      <c r="B1098" s="14"/>
      <c r="C1098" s="15"/>
      <c r="D1098" s="15"/>
      <c r="E1098" s="16"/>
      <c r="G1098" s="17"/>
      <c r="J1098" s="10"/>
    </row>
    <row r="1099">
      <c r="B1099" s="11"/>
      <c r="C1099" s="12"/>
      <c r="D1099" s="12"/>
      <c r="E1099" s="13"/>
      <c r="G1099" s="17"/>
      <c r="J1099" s="10"/>
    </row>
    <row r="1100">
      <c r="B1100" s="14"/>
      <c r="C1100" s="15"/>
      <c r="D1100" s="15"/>
      <c r="E1100" s="16"/>
      <c r="G1100" s="17"/>
      <c r="J1100" s="10"/>
    </row>
    <row r="1101">
      <c r="B1101" s="11"/>
      <c r="C1101" s="12"/>
      <c r="D1101" s="12"/>
      <c r="E1101" s="13"/>
      <c r="G1101" s="17"/>
      <c r="J1101" s="10"/>
    </row>
    <row r="1102">
      <c r="B1102" s="14"/>
      <c r="C1102" s="15"/>
      <c r="D1102" s="15"/>
      <c r="E1102" s="16"/>
      <c r="G1102" s="17"/>
      <c r="J1102" s="10"/>
    </row>
    <row r="1103">
      <c r="B1103" s="11"/>
      <c r="C1103" s="12"/>
      <c r="D1103" s="12"/>
      <c r="E1103" s="13"/>
      <c r="G1103" s="17"/>
      <c r="J1103" s="10"/>
    </row>
    <row r="1104">
      <c r="B1104" s="14"/>
      <c r="C1104" s="15"/>
      <c r="D1104" s="15"/>
      <c r="E1104" s="16"/>
      <c r="G1104" s="17"/>
      <c r="J1104" s="10"/>
    </row>
    <row r="1105">
      <c r="B1105" s="11"/>
      <c r="C1105" s="12"/>
      <c r="D1105" s="12"/>
      <c r="E1105" s="13"/>
      <c r="G1105" s="17"/>
      <c r="J1105" s="10"/>
    </row>
    <row r="1106">
      <c r="B1106" s="14"/>
      <c r="C1106" s="15"/>
      <c r="D1106" s="15"/>
      <c r="E1106" s="16"/>
      <c r="G1106" s="17"/>
      <c r="J1106" s="10"/>
    </row>
    <row r="1107">
      <c r="B1107" s="11"/>
      <c r="C1107" s="12"/>
      <c r="D1107" s="12"/>
      <c r="E1107" s="13"/>
      <c r="G1107" s="17"/>
      <c r="J1107" s="10"/>
    </row>
    <row r="1108">
      <c r="B1108" s="14"/>
      <c r="C1108" s="15"/>
      <c r="D1108" s="15"/>
      <c r="E1108" s="16"/>
      <c r="G1108" s="17"/>
      <c r="J1108" s="10"/>
    </row>
    <row r="1109">
      <c r="B1109" s="11"/>
      <c r="C1109" s="12"/>
      <c r="D1109" s="12"/>
      <c r="E1109" s="13"/>
      <c r="G1109" s="17"/>
      <c r="J1109" s="10"/>
    </row>
    <row r="1110">
      <c r="B1110" s="14"/>
      <c r="C1110" s="15"/>
      <c r="D1110" s="15"/>
      <c r="E1110" s="16"/>
      <c r="G1110" s="17"/>
      <c r="J1110" s="10"/>
    </row>
    <row r="1111">
      <c r="B1111" s="11"/>
      <c r="C1111" s="12"/>
      <c r="D1111" s="12"/>
      <c r="E1111" s="13"/>
      <c r="G1111" s="17"/>
      <c r="J1111" s="10"/>
    </row>
    <row r="1112">
      <c r="B1112" s="14"/>
      <c r="C1112" s="15"/>
      <c r="D1112" s="15"/>
      <c r="E1112" s="16"/>
      <c r="G1112" s="17"/>
      <c r="J1112" s="10"/>
    </row>
    <row r="1113">
      <c r="B1113" s="11"/>
      <c r="C1113" s="12"/>
      <c r="D1113" s="12"/>
      <c r="E1113" s="13"/>
      <c r="G1113" s="17"/>
      <c r="J1113" s="10"/>
    </row>
    <row r="1114">
      <c r="B1114" s="14"/>
      <c r="C1114" s="15"/>
      <c r="D1114" s="15"/>
      <c r="E1114" s="16"/>
      <c r="G1114" s="17"/>
      <c r="J1114" s="10"/>
    </row>
    <row r="1115">
      <c r="B1115" s="11"/>
      <c r="C1115" s="12"/>
      <c r="D1115" s="12"/>
      <c r="E1115" s="13"/>
      <c r="G1115" s="17"/>
      <c r="J1115" s="10"/>
    </row>
    <row r="1116">
      <c r="B1116" s="14"/>
      <c r="C1116" s="15"/>
      <c r="D1116" s="15"/>
      <c r="E1116" s="16"/>
      <c r="G1116" s="17"/>
      <c r="J1116" s="10"/>
    </row>
    <row r="1117">
      <c r="B1117" s="11"/>
      <c r="C1117" s="12"/>
      <c r="D1117" s="12"/>
      <c r="E1117" s="13"/>
      <c r="G1117" s="17"/>
      <c r="J1117" s="10"/>
    </row>
    <row r="1118">
      <c r="B1118" s="14"/>
      <c r="C1118" s="15"/>
      <c r="D1118" s="15"/>
      <c r="E1118" s="16"/>
      <c r="G1118" s="17"/>
      <c r="J1118" s="10"/>
    </row>
    <row r="1119">
      <c r="B1119" s="11"/>
      <c r="C1119" s="12"/>
      <c r="D1119" s="12"/>
      <c r="E1119" s="13"/>
      <c r="G1119" s="17"/>
      <c r="J1119" s="10"/>
    </row>
    <row r="1120">
      <c r="B1120" s="14"/>
      <c r="C1120" s="15"/>
      <c r="D1120" s="15"/>
      <c r="E1120" s="16"/>
      <c r="G1120" s="17"/>
      <c r="J1120" s="10"/>
    </row>
    <row r="1121">
      <c r="B1121" s="11"/>
      <c r="C1121" s="12"/>
      <c r="D1121" s="12"/>
      <c r="E1121" s="13"/>
      <c r="G1121" s="17"/>
      <c r="J1121" s="10"/>
    </row>
    <row r="1122">
      <c r="B1122" s="14"/>
      <c r="C1122" s="15"/>
      <c r="D1122" s="15"/>
      <c r="E1122" s="16"/>
      <c r="G1122" s="17"/>
      <c r="J1122" s="10"/>
    </row>
    <row r="1123">
      <c r="B1123" s="11"/>
      <c r="C1123" s="12"/>
      <c r="D1123" s="12"/>
      <c r="E1123" s="13"/>
      <c r="G1123" s="17"/>
      <c r="J1123" s="10"/>
    </row>
    <row r="1124">
      <c r="B1124" s="14"/>
      <c r="C1124" s="15"/>
      <c r="D1124" s="15"/>
      <c r="E1124" s="16"/>
      <c r="G1124" s="17"/>
      <c r="J1124" s="10"/>
    </row>
    <row r="1125">
      <c r="B1125" s="11"/>
      <c r="C1125" s="12"/>
      <c r="D1125" s="12"/>
      <c r="E1125" s="13"/>
      <c r="G1125" s="17"/>
      <c r="J1125" s="10"/>
    </row>
    <row r="1126">
      <c r="B1126" s="14"/>
      <c r="C1126" s="15"/>
      <c r="D1126" s="15"/>
      <c r="E1126" s="16"/>
      <c r="G1126" s="17"/>
      <c r="J1126" s="10"/>
    </row>
    <row r="1127">
      <c r="B1127" s="11"/>
      <c r="C1127" s="12"/>
      <c r="D1127" s="12"/>
      <c r="E1127" s="13"/>
      <c r="G1127" s="17"/>
      <c r="J1127" s="10"/>
    </row>
    <row r="1128">
      <c r="B1128" s="14"/>
      <c r="C1128" s="15"/>
      <c r="D1128" s="15"/>
      <c r="E1128" s="16"/>
      <c r="G1128" s="17"/>
      <c r="J1128" s="10"/>
    </row>
    <row r="1129">
      <c r="B1129" s="11"/>
      <c r="C1129" s="12"/>
      <c r="D1129" s="12"/>
      <c r="E1129" s="13"/>
      <c r="G1129" s="17"/>
      <c r="J1129" s="10"/>
    </row>
    <row r="1130">
      <c r="B1130" s="14"/>
      <c r="C1130" s="15"/>
      <c r="D1130" s="15"/>
      <c r="E1130" s="16"/>
      <c r="G1130" s="17"/>
      <c r="J1130" s="10"/>
    </row>
    <row r="1131">
      <c r="B1131" s="11"/>
      <c r="C1131" s="12"/>
      <c r="D1131" s="12"/>
      <c r="E1131" s="13"/>
      <c r="G1131" s="17"/>
      <c r="J1131" s="10"/>
    </row>
    <row r="1132">
      <c r="B1132" s="14"/>
      <c r="C1132" s="15"/>
      <c r="D1132" s="15"/>
      <c r="E1132" s="16"/>
      <c r="G1132" s="17"/>
      <c r="J1132" s="10"/>
    </row>
    <row r="1133">
      <c r="B1133" s="11"/>
      <c r="C1133" s="12"/>
      <c r="D1133" s="12"/>
      <c r="E1133" s="13"/>
      <c r="G1133" s="17"/>
      <c r="J1133" s="10"/>
    </row>
    <row r="1134">
      <c r="B1134" s="14"/>
      <c r="C1134" s="15"/>
      <c r="D1134" s="15"/>
      <c r="E1134" s="16"/>
      <c r="G1134" s="17"/>
      <c r="J1134" s="10"/>
    </row>
    <row r="1135">
      <c r="B1135" s="11"/>
      <c r="C1135" s="12"/>
      <c r="D1135" s="12"/>
      <c r="E1135" s="13"/>
      <c r="G1135" s="17"/>
      <c r="J1135" s="10"/>
    </row>
    <row r="1136">
      <c r="B1136" s="14"/>
      <c r="C1136" s="15"/>
      <c r="D1136" s="15"/>
      <c r="E1136" s="16"/>
      <c r="G1136" s="17"/>
      <c r="J1136" s="10"/>
    </row>
    <row r="1137">
      <c r="B1137" s="11"/>
      <c r="C1137" s="12"/>
      <c r="D1137" s="12"/>
      <c r="E1137" s="13"/>
      <c r="G1137" s="17"/>
      <c r="J1137" s="10"/>
    </row>
    <row r="1138">
      <c r="B1138" s="14"/>
      <c r="C1138" s="15"/>
      <c r="D1138" s="15"/>
      <c r="E1138" s="16"/>
      <c r="G1138" s="17"/>
      <c r="J1138" s="10"/>
    </row>
    <row r="1139">
      <c r="B1139" s="11"/>
      <c r="C1139" s="12"/>
      <c r="D1139" s="12"/>
      <c r="E1139" s="13"/>
      <c r="G1139" s="17"/>
      <c r="J1139" s="10"/>
    </row>
    <row r="1140">
      <c r="B1140" s="14"/>
      <c r="C1140" s="15"/>
      <c r="D1140" s="15"/>
      <c r="E1140" s="16"/>
      <c r="G1140" s="17"/>
      <c r="J1140" s="10"/>
    </row>
    <row r="1141">
      <c r="B1141" s="11"/>
      <c r="C1141" s="12"/>
      <c r="D1141" s="12"/>
      <c r="E1141" s="13"/>
      <c r="G1141" s="17"/>
      <c r="J1141" s="10"/>
    </row>
    <row r="1142">
      <c r="B1142" s="14"/>
      <c r="C1142" s="15"/>
      <c r="D1142" s="15"/>
      <c r="E1142" s="16"/>
      <c r="G1142" s="17"/>
      <c r="J1142" s="10"/>
    </row>
    <row r="1143">
      <c r="B1143" s="11"/>
      <c r="C1143" s="12"/>
      <c r="D1143" s="12"/>
      <c r="E1143" s="13"/>
      <c r="G1143" s="17"/>
      <c r="J1143" s="10"/>
    </row>
    <row r="1144">
      <c r="B1144" s="14"/>
      <c r="C1144" s="15"/>
      <c r="D1144" s="15"/>
      <c r="E1144" s="16"/>
      <c r="G1144" s="17"/>
      <c r="J1144" s="10"/>
    </row>
    <row r="1145">
      <c r="B1145" s="11"/>
      <c r="C1145" s="12"/>
      <c r="D1145" s="12"/>
      <c r="E1145" s="13"/>
      <c r="G1145" s="17"/>
      <c r="J1145" s="10"/>
    </row>
    <row r="1146">
      <c r="B1146" s="14"/>
      <c r="C1146" s="15"/>
      <c r="D1146" s="15"/>
      <c r="E1146" s="16"/>
      <c r="G1146" s="17"/>
      <c r="J1146" s="10"/>
    </row>
    <row r="1147">
      <c r="B1147" s="11"/>
      <c r="C1147" s="12"/>
      <c r="D1147" s="12"/>
      <c r="E1147" s="13"/>
      <c r="G1147" s="17"/>
      <c r="J1147" s="10"/>
    </row>
    <row r="1148">
      <c r="B1148" s="14"/>
      <c r="C1148" s="15"/>
      <c r="D1148" s="15"/>
      <c r="E1148" s="16"/>
      <c r="G1148" s="17"/>
      <c r="J1148" s="10"/>
    </row>
    <row r="1149">
      <c r="B1149" s="11"/>
      <c r="C1149" s="12"/>
      <c r="D1149" s="12"/>
      <c r="E1149" s="13"/>
      <c r="G1149" s="17"/>
      <c r="J1149" s="10"/>
    </row>
    <row r="1150">
      <c r="B1150" s="14"/>
      <c r="C1150" s="15"/>
      <c r="D1150" s="15"/>
      <c r="E1150" s="16"/>
      <c r="G1150" s="17"/>
      <c r="J1150" s="10"/>
    </row>
    <row r="1151">
      <c r="B1151" s="11"/>
      <c r="C1151" s="12"/>
      <c r="D1151" s="12"/>
      <c r="E1151" s="13"/>
      <c r="G1151" s="17"/>
      <c r="J1151" s="10"/>
    </row>
    <row r="1152">
      <c r="B1152" s="14"/>
      <c r="C1152" s="15"/>
      <c r="D1152" s="15"/>
      <c r="E1152" s="16"/>
      <c r="G1152" s="17"/>
      <c r="J1152" s="10"/>
    </row>
    <row r="1153">
      <c r="B1153" s="11"/>
      <c r="C1153" s="12"/>
      <c r="D1153" s="12"/>
      <c r="E1153" s="13"/>
      <c r="G1153" s="17"/>
      <c r="J1153" s="10"/>
    </row>
    <row r="1154">
      <c r="B1154" s="14"/>
      <c r="C1154" s="15"/>
      <c r="D1154" s="15"/>
      <c r="E1154" s="16"/>
      <c r="G1154" s="17"/>
      <c r="J1154" s="10"/>
    </row>
    <row r="1155">
      <c r="B1155" s="11"/>
      <c r="C1155" s="12"/>
      <c r="D1155" s="12"/>
      <c r="E1155" s="13"/>
      <c r="G1155" s="17"/>
      <c r="J1155" s="10"/>
    </row>
    <row r="1156">
      <c r="B1156" s="14"/>
      <c r="C1156" s="15"/>
      <c r="D1156" s="15"/>
      <c r="E1156" s="16"/>
      <c r="G1156" s="17"/>
      <c r="J1156" s="10"/>
    </row>
    <row r="1157">
      <c r="B1157" s="11"/>
      <c r="C1157" s="12"/>
      <c r="D1157" s="12"/>
      <c r="E1157" s="13"/>
      <c r="G1157" s="17"/>
      <c r="J1157" s="10"/>
    </row>
    <row r="1158">
      <c r="B1158" s="14"/>
      <c r="C1158" s="15"/>
      <c r="D1158" s="15"/>
      <c r="E1158" s="16"/>
      <c r="G1158" s="17"/>
      <c r="J1158" s="10"/>
    </row>
    <row r="1159">
      <c r="B1159" s="11"/>
      <c r="C1159" s="12"/>
      <c r="D1159" s="12"/>
      <c r="E1159" s="13"/>
      <c r="G1159" s="17"/>
      <c r="J1159" s="10"/>
    </row>
    <row r="1160">
      <c r="B1160" s="14"/>
      <c r="C1160" s="15"/>
      <c r="D1160" s="15"/>
      <c r="E1160" s="16"/>
      <c r="G1160" s="17"/>
      <c r="J1160" s="10"/>
    </row>
    <row r="1161">
      <c r="B1161" s="11"/>
      <c r="C1161" s="12"/>
      <c r="D1161" s="12"/>
      <c r="E1161" s="13"/>
      <c r="G1161" s="17"/>
      <c r="J1161" s="10"/>
    </row>
    <row r="1162">
      <c r="B1162" s="14"/>
      <c r="C1162" s="15"/>
      <c r="D1162" s="15"/>
      <c r="E1162" s="16"/>
      <c r="G1162" s="17"/>
      <c r="J1162" s="10"/>
    </row>
    <row r="1163">
      <c r="B1163" s="11"/>
      <c r="C1163" s="12"/>
      <c r="D1163" s="12"/>
      <c r="E1163" s="13"/>
      <c r="G1163" s="17"/>
      <c r="J1163" s="10"/>
    </row>
    <row r="1164">
      <c r="B1164" s="14"/>
      <c r="C1164" s="15"/>
      <c r="D1164" s="15"/>
      <c r="E1164" s="16"/>
      <c r="G1164" s="17"/>
      <c r="J1164" s="10"/>
    </row>
    <row r="1165">
      <c r="B1165" s="11"/>
      <c r="C1165" s="12"/>
      <c r="D1165" s="12"/>
      <c r="E1165" s="13"/>
      <c r="G1165" s="17"/>
      <c r="J1165" s="10"/>
    </row>
    <row r="1166">
      <c r="B1166" s="14"/>
      <c r="C1166" s="15"/>
      <c r="D1166" s="15"/>
      <c r="E1166" s="16"/>
      <c r="G1166" s="17"/>
      <c r="J1166" s="10"/>
    </row>
    <row r="1167">
      <c r="B1167" s="11"/>
      <c r="C1167" s="12"/>
      <c r="D1167" s="12"/>
      <c r="E1167" s="13"/>
      <c r="G1167" s="17"/>
      <c r="J1167" s="10"/>
    </row>
    <row r="1168">
      <c r="B1168" s="14"/>
      <c r="C1168" s="15"/>
      <c r="D1168" s="15"/>
      <c r="E1168" s="16"/>
      <c r="G1168" s="17"/>
      <c r="J1168" s="10"/>
    </row>
    <row r="1169">
      <c r="B1169" s="11"/>
      <c r="C1169" s="12"/>
      <c r="D1169" s="12"/>
      <c r="E1169" s="13"/>
      <c r="G1169" s="17"/>
      <c r="J1169" s="10"/>
    </row>
    <row r="1170">
      <c r="B1170" s="14"/>
      <c r="C1170" s="15"/>
      <c r="D1170" s="15"/>
      <c r="E1170" s="16"/>
      <c r="G1170" s="17"/>
      <c r="J1170" s="10"/>
    </row>
    <row r="1171">
      <c r="B1171" s="11"/>
      <c r="C1171" s="12"/>
      <c r="D1171" s="12"/>
      <c r="E1171" s="13"/>
      <c r="G1171" s="17"/>
      <c r="J1171" s="10"/>
    </row>
    <row r="1172">
      <c r="B1172" s="14"/>
      <c r="C1172" s="15"/>
      <c r="D1172" s="15"/>
      <c r="E1172" s="16"/>
      <c r="G1172" s="17"/>
      <c r="J1172" s="10"/>
    </row>
    <row r="1173">
      <c r="B1173" s="11"/>
      <c r="C1173" s="12"/>
      <c r="D1173" s="12"/>
      <c r="E1173" s="13"/>
      <c r="G1173" s="17"/>
      <c r="J1173" s="10"/>
    </row>
    <row r="1174">
      <c r="B1174" s="14"/>
      <c r="C1174" s="15"/>
      <c r="D1174" s="15"/>
      <c r="E1174" s="16"/>
      <c r="G1174" s="17"/>
      <c r="J1174" s="10"/>
    </row>
    <row r="1175">
      <c r="B1175" s="11"/>
      <c r="C1175" s="12"/>
      <c r="D1175" s="12"/>
      <c r="E1175" s="13"/>
      <c r="G1175" s="17"/>
      <c r="J1175" s="10"/>
    </row>
    <row r="1176">
      <c r="B1176" s="14"/>
      <c r="C1176" s="15"/>
      <c r="D1176" s="15"/>
      <c r="E1176" s="16"/>
      <c r="G1176" s="17"/>
      <c r="J1176" s="10"/>
    </row>
    <row r="1177">
      <c r="B1177" s="11"/>
      <c r="C1177" s="12"/>
      <c r="D1177" s="12"/>
      <c r="E1177" s="13"/>
      <c r="G1177" s="17"/>
      <c r="J1177" s="10"/>
    </row>
    <row r="1178">
      <c r="B1178" s="14"/>
      <c r="C1178" s="15"/>
      <c r="D1178" s="15"/>
      <c r="E1178" s="16"/>
      <c r="G1178" s="17"/>
      <c r="J1178" s="10"/>
    </row>
    <row r="1179">
      <c r="B1179" s="11"/>
      <c r="C1179" s="12"/>
      <c r="D1179" s="12"/>
      <c r="E1179" s="13"/>
      <c r="G1179" s="17"/>
      <c r="J1179" s="10"/>
    </row>
    <row r="1180">
      <c r="B1180" s="14"/>
      <c r="C1180" s="15"/>
      <c r="D1180" s="15"/>
      <c r="E1180" s="16"/>
      <c r="G1180" s="17"/>
      <c r="J1180" s="10"/>
    </row>
    <row r="1181">
      <c r="B1181" s="11"/>
      <c r="C1181" s="12"/>
      <c r="D1181" s="12"/>
      <c r="E1181" s="13"/>
      <c r="G1181" s="17"/>
      <c r="J1181" s="10"/>
    </row>
    <row r="1182">
      <c r="B1182" s="14"/>
      <c r="C1182" s="15"/>
      <c r="D1182" s="15"/>
      <c r="E1182" s="16"/>
      <c r="G1182" s="17"/>
      <c r="J1182" s="10"/>
    </row>
    <row r="1183">
      <c r="B1183" s="11"/>
      <c r="C1183" s="12"/>
      <c r="D1183" s="12"/>
      <c r="E1183" s="13"/>
      <c r="G1183" s="17"/>
      <c r="J1183" s="10"/>
    </row>
    <row r="1184">
      <c r="B1184" s="14"/>
      <c r="C1184" s="15"/>
      <c r="D1184" s="15"/>
      <c r="E1184" s="16"/>
      <c r="G1184" s="17"/>
      <c r="J1184" s="10"/>
    </row>
    <row r="1185">
      <c r="B1185" s="11"/>
      <c r="C1185" s="12"/>
      <c r="D1185" s="12"/>
      <c r="E1185" s="13"/>
      <c r="G1185" s="17"/>
      <c r="J1185" s="10"/>
    </row>
    <row r="1186">
      <c r="B1186" s="14"/>
      <c r="C1186" s="15"/>
      <c r="D1186" s="15"/>
      <c r="E1186" s="16"/>
      <c r="G1186" s="17"/>
      <c r="J1186" s="10"/>
    </row>
    <row r="1187">
      <c r="B1187" s="11"/>
      <c r="C1187" s="12"/>
      <c r="D1187" s="12"/>
      <c r="E1187" s="13"/>
      <c r="G1187" s="17"/>
      <c r="J1187" s="10"/>
    </row>
    <row r="1188">
      <c r="B1188" s="14"/>
      <c r="C1188" s="15"/>
      <c r="D1188" s="15"/>
      <c r="E1188" s="16"/>
      <c r="G1188" s="17"/>
      <c r="J1188" s="10"/>
    </row>
    <row r="1189">
      <c r="B1189" s="11"/>
      <c r="C1189" s="12"/>
      <c r="D1189" s="12"/>
      <c r="E1189" s="13"/>
      <c r="G1189" s="17"/>
      <c r="J1189" s="10"/>
    </row>
    <row r="1190">
      <c r="B1190" s="14"/>
      <c r="C1190" s="15"/>
      <c r="D1190" s="15"/>
      <c r="E1190" s="16"/>
      <c r="G1190" s="17"/>
      <c r="J1190" s="10"/>
    </row>
    <row r="1191">
      <c r="B1191" s="11"/>
      <c r="C1191" s="12"/>
      <c r="D1191" s="12"/>
      <c r="E1191" s="13"/>
      <c r="G1191" s="17"/>
      <c r="J1191" s="10"/>
    </row>
    <row r="1192">
      <c r="B1192" s="14"/>
      <c r="C1192" s="15"/>
      <c r="D1192" s="15"/>
      <c r="E1192" s="16"/>
      <c r="G1192" s="17"/>
      <c r="J1192" s="10"/>
    </row>
    <row r="1193">
      <c r="B1193" s="11"/>
      <c r="C1193" s="12"/>
      <c r="D1193" s="12"/>
      <c r="E1193" s="13"/>
      <c r="G1193" s="17"/>
      <c r="J1193" s="10"/>
    </row>
    <row r="1194">
      <c r="B1194" s="14"/>
      <c r="C1194" s="15"/>
      <c r="D1194" s="15"/>
      <c r="E1194" s="16"/>
      <c r="G1194" s="17"/>
      <c r="J1194" s="10"/>
    </row>
    <row r="1195">
      <c r="B1195" s="11"/>
      <c r="C1195" s="12"/>
      <c r="D1195" s="12"/>
      <c r="E1195" s="13"/>
      <c r="G1195" s="17"/>
      <c r="J1195" s="10"/>
    </row>
    <row r="1196">
      <c r="B1196" s="14"/>
      <c r="C1196" s="15"/>
      <c r="D1196" s="15"/>
      <c r="E1196" s="16"/>
      <c r="G1196" s="17"/>
      <c r="J1196" s="10"/>
    </row>
    <row r="1197">
      <c r="B1197" s="11"/>
      <c r="C1197" s="12"/>
      <c r="D1197" s="12"/>
      <c r="E1197" s="13"/>
      <c r="G1197" s="17"/>
      <c r="J1197" s="10"/>
    </row>
    <row r="1198">
      <c r="B1198" s="14"/>
      <c r="C1198" s="15"/>
      <c r="D1198" s="15"/>
      <c r="E1198" s="16"/>
      <c r="G1198" s="17"/>
      <c r="J1198" s="10"/>
    </row>
    <row r="1199">
      <c r="B1199" s="11"/>
      <c r="C1199" s="12"/>
      <c r="D1199" s="12"/>
      <c r="E1199" s="13"/>
      <c r="G1199" s="17"/>
      <c r="J1199" s="10"/>
    </row>
    <row r="1200">
      <c r="B1200" s="14"/>
      <c r="C1200" s="15"/>
      <c r="D1200" s="15"/>
      <c r="E1200" s="16"/>
      <c r="G1200" s="17"/>
      <c r="J1200" s="10"/>
    </row>
    <row r="1201">
      <c r="B1201" s="11"/>
      <c r="C1201" s="12"/>
      <c r="D1201" s="12"/>
      <c r="E1201" s="13"/>
      <c r="G1201" s="17"/>
      <c r="J1201" s="10"/>
    </row>
    <row r="1202">
      <c r="B1202" s="14"/>
      <c r="C1202" s="15"/>
      <c r="D1202" s="15"/>
      <c r="E1202" s="16"/>
      <c r="G1202" s="17"/>
      <c r="J1202" s="10"/>
    </row>
    <row r="1203">
      <c r="B1203" s="11"/>
      <c r="C1203" s="12"/>
      <c r="D1203" s="12"/>
      <c r="E1203" s="13"/>
      <c r="G1203" s="17"/>
      <c r="J1203" s="10"/>
    </row>
    <row r="1204">
      <c r="B1204" s="14"/>
      <c r="C1204" s="15"/>
      <c r="D1204" s="15"/>
      <c r="E1204" s="16"/>
      <c r="G1204" s="17"/>
      <c r="J1204" s="10"/>
    </row>
    <row r="1205">
      <c r="B1205" s="11"/>
      <c r="C1205" s="12"/>
      <c r="D1205" s="12"/>
      <c r="E1205" s="13"/>
      <c r="G1205" s="17"/>
      <c r="J1205" s="10"/>
    </row>
    <row r="1206">
      <c r="B1206" s="14"/>
      <c r="C1206" s="15"/>
      <c r="D1206" s="15"/>
      <c r="E1206" s="16"/>
      <c r="G1206" s="17"/>
      <c r="J1206" s="10"/>
    </row>
    <row r="1207">
      <c r="B1207" s="11"/>
      <c r="C1207" s="12"/>
      <c r="D1207" s="12"/>
      <c r="E1207" s="13"/>
      <c r="G1207" s="17"/>
      <c r="J1207" s="10"/>
    </row>
    <row r="1208">
      <c r="B1208" s="14"/>
      <c r="C1208" s="15"/>
      <c r="D1208" s="15"/>
      <c r="E1208" s="16"/>
      <c r="G1208" s="17"/>
      <c r="J1208" s="10"/>
    </row>
    <row r="1209">
      <c r="B1209" s="11"/>
      <c r="C1209" s="12"/>
      <c r="D1209" s="12"/>
      <c r="E1209" s="13"/>
      <c r="G1209" s="17"/>
      <c r="J1209" s="10"/>
    </row>
    <row r="1210">
      <c r="B1210" s="14"/>
      <c r="C1210" s="15"/>
      <c r="D1210" s="15"/>
      <c r="E1210" s="16"/>
      <c r="G1210" s="17"/>
      <c r="J1210" s="10"/>
    </row>
    <row r="1211">
      <c r="B1211" s="11"/>
      <c r="C1211" s="12"/>
      <c r="D1211" s="12"/>
      <c r="E1211" s="13"/>
      <c r="G1211" s="17"/>
      <c r="J1211" s="10"/>
    </row>
    <row r="1212">
      <c r="B1212" s="14"/>
      <c r="C1212" s="15"/>
      <c r="D1212" s="15"/>
      <c r="E1212" s="16"/>
      <c r="G1212" s="17"/>
      <c r="J1212" s="10"/>
    </row>
    <row r="1213">
      <c r="B1213" s="11"/>
      <c r="C1213" s="12"/>
      <c r="D1213" s="12"/>
      <c r="E1213" s="13"/>
      <c r="G1213" s="17"/>
      <c r="J1213" s="10"/>
    </row>
    <row r="1214">
      <c r="B1214" s="14"/>
      <c r="C1214" s="15"/>
      <c r="D1214" s="15"/>
      <c r="E1214" s="16"/>
      <c r="G1214" s="17"/>
      <c r="J1214" s="10"/>
    </row>
    <row r="1215">
      <c r="B1215" s="11"/>
      <c r="C1215" s="12"/>
      <c r="D1215" s="12"/>
      <c r="E1215" s="13"/>
      <c r="G1215" s="17"/>
      <c r="J1215" s="10"/>
    </row>
    <row r="1216">
      <c r="B1216" s="14"/>
      <c r="C1216" s="15"/>
      <c r="D1216" s="15"/>
      <c r="E1216" s="16"/>
      <c r="G1216" s="17"/>
      <c r="J1216" s="10"/>
    </row>
    <row r="1217">
      <c r="B1217" s="11"/>
      <c r="C1217" s="12"/>
      <c r="D1217" s="12"/>
      <c r="E1217" s="13"/>
      <c r="G1217" s="17"/>
      <c r="J1217" s="10"/>
    </row>
    <row r="1218">
      <c r="B1218" s="14"/>
      <c r="C1218" s="15"/>
      <c r="D1218" s="15"/>
      <c r="E1218" s="16"/>
      <c r="G1218" s="17"/>
      <c r="J1218" s="10"/>
    </row>
    <row r="1219">
      <c r="B1219" s="11"/>
      <c r="C1219" s="12"/>
      <c r="D1219" s="12"/>
      <c r="E1219" s="13"/>
      <c r="G1219" s="17"/>
      <c r="J1219" s="10"/>
    </row>
    <row r="1220">
      <c r="B1220" s="14"/>
      <c r="C1220" s="15"/>
      <c r="D1220" s="15"/>
      <c r="E1220" s="16"/>
      <c r="G1220" s="17"/>
      <c r="J1220" s="10"/>
    </row>
    <row r="1221">
      <c r="B1221" s="11"/>
      <c r="C1221" s="12"/>
      <c r="D1221" s="12"/>
      <c r="E1221" s="13"/>
      <c r="G1221" s="17"/>
      <c r="J1221" s="10"/>
    </row>
    <row r="1222">
      <c r="B1222" s="14"/>
      <c r="C1222" s="15"/>
      <c r="D1222" s="15"/>
      <c r="E1222" s="16"/>
      <c r="G1222" s="17"/>
      <c r="J1222" s="10"/>
    </row>
    <row r="1223">
      <c r="B1223" s="11"/>
      <c r="C1223" s="12"/>
      <c r="D1223" s="12"/>
      <c r="E1223" s="13"/>
      <c r="G1223" s="17"/>
      <c r="J1223" s="10"/>
    </row>
    <row r="1224">
      <c r="B1224" s="14"/>
      <c r="C1224" s="15"/>
      <c r="D1224" s="15"/>
      <c r="E1224" s="16"/>
      <c r="G1224" s="17"/>
      <c r="J1224" s="10"/>
    </row>
    <row r="1225">
      <c r="B1225" s="11"/>
      <c r="C1225" s="12"/>
      <c r="D1225" s="12"/>
      <c r="E1225" s="13"/>
      <c r="G1225" s="17"/>
      <c r="J1225" s="10"/>
    </row>
    <row r="1226">
      <c r="B1226" s="14"/>
      <c r="C1226" s="15"/>
      <c r="D1226" s="15"/>
      <c r="E1226" s="16"/>
      <c r="G1226" s="17"/>
      <c r="J1226" s="10"/>
    </row>
    <row r="1227">
      <c r="B1227" s="11"/>
      <c r="C1227" s="12"/>
      <c r="D1227" s="12"/>
      <c r="E1227" s="13"/>
      <c r="G1227" s="17"/>
      <c r="J1227" s="10"/>
    </row>
    <row r="1228">
      <c r="B1228" s="14"/>
      <c r="C1228" s="15"/>
      <c r="D1228" s="15"/>
      <c r="E1228" s="16"/>
      <c r="G1228" s="17"/>
      <c r="J1228" s="10"/>
    </row>
    <row r="1229">
      <c r="B1229" s="11"/>
      <c r="C1229" s="12"/>
      <c r="D1229" s="12"/>
      <c r="E1229" s="13"/>
      <c r="G1229" s="17"/>
      <c r="J1229" s="10"/>
    </row>
    <row r="1230">
      <c r="B1230" s="14"/>
      <c r="C1230" s="15"/>
      <c r="D1230" s="15"/>
      <c r="E1230" s="16"/>
      <c r="G1230" s="17"/>
      <c r="J1230" s="10"/>
    </row>
    <row r="1231">
      <c r="B1231" s="11"/>
      <c r="C1231" s="12"/>
      <c r="D1231" s="12"/>
      <c r="E1231" s="13"/>
      <c r="G1231" s="17"/>
      <c r="J1231" s="10"/>
    </row>
    <row r="1232">
      <c r="B1232" s="14"/>
      <c r="C1232" s="15"/>
      <c r="D1232" s="15"/>
      <c r="E1232" s="16"/>
      <c r="G1232" s="17"/>
      <c r="J1232" s="10"/>
    </row>
    <row r="1233">
      <c r="B1233" s="11"/>
      <c r="C1233" s="12"/>
      <c r="D1233" s="12"/>
      <c r="E1233" s="13"/>
      <c r="G1233" s="17"/>
      <c r="J1233" s="10"/>
    </row>
    <row r="1234">
      <c r="B1234" s="14"/>
      <c r="C1234" s="15"/>
      <c r="D1234" s="15"/>
      <c r="E1234" s="16"/>
      <c r="G1234" s="17"/>
      <c r="J1234" s="10"/>
    </row>
    <row r="1235">
      <c r="B1235" s="11"/>
      <c r="C1235" s="12"/>
      <c r="D1235" s="12"/>
      <c r="E1235" s="13"/>
      <c r="G1235" s="17"/>
      <c r="J1235" s="10"/>
    </row>
    <row r="1236">
      <c r="B1236" s="14"/>
      <c r="C1236" s="15"/>
      <c r="D1236" s="15"/>
      <c r="E1236" s="16"/>
      <c r="G1236" s="17"/>
      <c r="J1236" s="10"/>
    </row>
    <row r="1237">
      <c r="B1237" s="11"/>
      <c r="C1237" s="12"/>
      <c r="D1237" s="12"/>
      <c r="E1237" s="13"/>
      <c r="G1237" s="17"/>
      <c r="J1237" s="10"/>
    </row>
    <row r="1238">
      <c r="B1238" s="14"/>
      <c r="C1238" s="15"/>
      <c r="D1238" s="15"/>
      <c r="E1238" s="16"/>
      <c r="G1238" s="17"/>
      <c r="J1238" s="10"/>
    </row>
    <row r="1239">
      <c r="B1239" s="11"/>
      <c r="C1239" s="12"/>
      <c r="D1239" s="12"/>
      <c r="E1239" s="13"/>
      <c r="G1239" s="17"/>
      <c r="J1239" s="10"/>
    </row>
    <row r="1240">
      <c r="B1240" s="14"/>
      <c r="C1240" s="15"/>
      <c r="D1240" s="15"/>
      <c r="E1240" s="16"/>
      <c r="G1240" s="17"/>
      <c r="J1240" s="10"/>
    </row>
    <row r="1241">
      <c r="B1241" s="11"/>
      <c r="C1241" s="12"/>
      <c r="D1241" s="12"/>
      <c r="E1241" s="13"/>
      <c r="G1241" s="17"/>
      <c r="J1241" s="10"/>
    </row>
    <row r="1242">
      <c r="B1242" s="14"/>
      <c r="C1242" s="15"/>
      <c r="D1242" s="15"/>
      <c r="E1242" s="16"/>
      <c r="G1242" s="17"/>
      <c r="J1242" s="10"/>
    </row>
    <row r="1243">
      <c r="B1243" s="11"/>
      <c r="C1243" s="12"/>
      <c r="D1243" s="12"/>
      <c r="E1243" s="13"/>
      <c r="G1243" s="17"/>
      <c r="J1243" s="10"/>
    </row>
    <row r="1244">
      <c r="B1244" s="14"/>
      <c r="C1244" s="15"/>
      <c r="D1244" s="15"/>
      <c r="E1244" s="16"/>
      <c r="G1244" s="17"/>
      <c r="J1244" s="10"/>
    </row>
    <row r="1245">
      <c r="B1245" s="11"/>
      <c r="C1245" s="12"/>
      <c r="D1245" s="12"/>
      <c r="E1245" s="13"/>
      <c r="G1245" s="17"/>
      <c r="J1245" s="10"/>
    </row>
    <row r="1246">
      <c r="B1246" s="14"/>
      <c r="C1246" s="15"/>
      <c r="D1246" s="15"/>
      <c r="E1246" s="16"/>
      <c r="G1246" s="17"/>
      <c r="J1246" s="10"/>
    </row>
    <row r="1247">
      <c r="B1247" s="11"/>
      <c r="C1247" s="12"/>
      <c r="D1247" s="12"/>
      <c r="E1247" s="13"/>
      <c r="G1247" s="17"/>
      <c r="J1247" s="10"/>
    </row>
    <row r="1248">
      <c r="B1248" s="14"/>
      <c r="C1248" s="15"/>
      <c r="D1248" s="15"/>
      <c r="E1248" s="16"/>
      <c r="G1248" s="17"/>
      <c r="J1248" s="10"/>
    </row>
    <row r="1249">
      <c r="B1249" s="11"/>
      <c r="C1249" s="12"/>
      <c r="D1249" s="12"/>
      <c r="E1249" s="13"/>
      <c r="G1249" s="17"/>
      <c r="J1249" s="10"/>
    </row>
    <row r="1250">
      <c r="B1250" s="14"/>
      <c r="C1250" s="15"/>
      <c r="D1250" s="15"/>
      <c r="E1250" s="16"/>
      <c r="G1250" s="17"/>
      <c r="J1250" s="10"/>
    </row>
    <row r="1251">
      <c r="B1251" s="11"/>
      <c r="C1251" s="12"/>
      <c r="D1251" s="12"/>
      <c r="E1251" s="13"/>
      <c r="G1251" s="17"/>
      <c r="J1251" s="10"/>
    </row>
    <row r="1252">
      <c r="B1252" s="14"/>
      <c r="C1252" s="15"/>
      <c r="D1252" s="15"/>
      <c r="E1252" s="16"/>
      <c r="G1252" s="17"/>
      <c r="J1252" s="10"/>
    </row>
    <row r="1253">
      <c r="B1253" s="11"/>
      <c r="C1253" s="12"/>
      <c r="D1253" s="12"/>
      <c r="E1253" s="13"/>
      <c r="G1253" s="17"/>
      <c r="J1253" s="10"/>
    </row>
    <row r="1254">
      <c r="B1254" s="14"/>
      <c r="C1254" s="15"/>
      <c r="D1254" s="15"/>
      <c r="E1254" s="16"/>
      <c r="G1254" s="17"/>
      <c r="J1254" s="10"/>
    </row>
    <row r="1255">
      <c r="B1255" s="11"/>
      <c r="C1255" s="12"/>
      <c r="D1255" s="12"/>
      <c r="E1255" s="13"/>
      <c r="G1255" s="17"/>
      <c r="J1255" s="10"/>
    </row>
    <row r="1256">
      <c r="B1256" s="14"/>
      <c r="C1256" s="15"/>
      <c r="D1256" s="15"/>
      <c r="E1256" s="16"/>
      <c r="G1256" s="17"/>
      <c r="J1256" s="10"/>
    </row>
    <row r="1257">
      <c r="B1257" s="11"/>
      <c r="C1257" s="12"/>
      <c r="D1257" s="12"/>
      <c r="E1257" s="13"/>
      <c r="G1257" s="17"/>
      <c r="J1257" s="10"/>
    </row>
    <row r="1258">
      <c r="B1258" s="14"/>
      <c r="C1258" s="15"/>
      <c r="D1258" s="15"/>
      <c r="E1258" s="16"/>
      <c r="G1258" s="17"/>
      <c r="J1258" s="10"/>
    </row>
    <row r="1259">
      <c r="B1259" s="11"/>
      <c r="C1259" s="12"/>
      <c r="D1259" s="12"/>
      <c r="E1259" s="13"/>
      <c r="G1259" s="17"/>
      <c r="J1259" s="10"/>
    </row>
    <row r="1260">
      <c r="B1260" s="14"/>
      <c r="C1260" s="15"/>
      <c r="D1260" s="15"/>
      <c r="E1260" s="16"/>
      <c r="G1260" s="17"/>
      <c r="J1260" s="10"/>
    </row>
    <row r="1261">
      <c r="B1261" s="11"/>
      <c r="C1261" s="12"/>
      <c r="D1261" s="12"/>
      <c r="E1261" s="13"/>
      <c r="G1261" s="17"/>
      <c r="J1261" s="10"/>
    </row>
    <row r="1262">
      <c r="B1262" s="14"/>
      <c r="C1262" s="15"/>
      <c r="D1262" s="15"/>
      <c r="E1262" s="16"/>
      <c r="G1262" s="17"/>
      <c r="J1262" s="10"/>
    </row>
    <row r="1263">
      <c r="B1263" s="11"/>
      <c r="C1263" s="12"/>
      <c r="D1263" s="12"/>
      <c r="E1263" s="13"/>
      <c r="G1263" s="17"/>
      <c r="J1263" s="10"/>
    </row>
    <row r="1264">
      <c r="B1264" s="14"/>
      <c r="C1264" s="15"/>
      <c r="D1264" s="15"/>
      <c r="E1264" s="16"/>
      <c r="G1264" s="17"/>
      <c r="J1264" s="10"/>
    </row>
    <row r="1265">
      <c r="B1265" s="11"/>
      <c r="C1265" s="12"/>
      <c r="D1265" s="12"/>
      <c r="E1265" s="13"/>
      <c r="G1265" s="17"/>
      <c r="J1265" s="10"/>
    </row>
    <row r="1266">
      <c r="B1266" s="14"/>
      <c r="C1266" s="15"/>
      <c r="D1266" s="15"/>
      <c r="E1266" s="16"/>
      <c r="G1266" s="17"/>
      <c r="J1266" s="10"/>
    </row>
    <row r="1267">
      <c r="B1267" s="11"/>
      <c r="C1267" s="12"/>
      <c r="D1267" s="12"/>
      <c r="E1267" s="13"/>
      <c r="G1267" s="17"/>
      <c r="J1267" s="10"/>
    </row>
    <row r="1268">
      <c r="B1268" s="14"/>
      <c r="C1268" s="15"/>
      <c r="D1268" s="15"/>
      <c r="E1268" s="16"/>
      <c r="G1268" s="17"/>
      <c r="J1268" s="10"/>
    </row>
    <row r="1269">
      <c r="B1269" s="11"/>
      <c r="C1269" s="12"/>
      <c r="D1269" s="12"/>
      <c r="E1269" s="13"/>
      <c r="G1269" s="17"/>
      <c r="J1269" s="10"/>
    </row>
    <row r="1270">
      <c r="B1270" s="14"/>
      <c r="C1270" s="15"/>
      <c r="D1270" s="15"/>
      <c r="E1270" s="16"/>
      <c r="G1270" s="17"/>
      <c r="J1270" s="10"/>
    </row>
    <row r="1271">
      <c r="B1271" s="11"/>
      <c r="C1271" s="12"/>
      <c r="D1271" s="12"/>
      <c r="E1271" s="13"/>
      <c r="G1271" s="17"/>
      <c r="J1271" s="10"/>
    </row>
    <row r="1272">
      <c r="B1272" s="14"/>
      <c r="C1272" s="15"/>
      <c r="D1272" s="15"/>
      <c r="E1272" s="16"/>
      <c r="G1272" s="17"/>
      <c r="J1272" s="10"/>
    </row>
    <row r="1273">
      <c r="B1273" s="11"/>
      <c r="C1273" s="12"/>
      <c r="D1273" s="12"/>
      <c r="E1273" s="13"/>
      <c r="G1273" s="17"/>
      <c r="J1273" s="10"/>
    </row>
    <row r="1274">
      <c r="B1274" s="14"/>
      <c r="C1274" s="15"/>
      <c r="D1274" s="15"/>
      <c r="E1274" s="16"/>
      <c r="G1274" s="17"/>
      <c r="J1274" s="10"/>
    </row>
    <row r="1275">
      <c r="B1275" s="11"/>
      <c r="C1275" s="12"/>
      <c r="D1275" s="12"/>
      <c r="E1275" s="13"/>
      <c r="G1275" s="17"/>
      <c r="J1275" s="10"/>
    </row>
    <row r="1276">
      <c r="B1276" s="14"/>
      <c r="C1276" s="15"/>
      <c r="D1276" s="15"/>
      <c r="E1276" s="16"/>
      <c r="G1276" s="17"/>
      <c r="J1276" s="10"/>
    </row>
    <row r="1277">
      <c r="B1277" s="11"/>
      <c r="C1277" s="12"/>
      <c r="D1277" s="12"/>
      <c r="E1277" s="13"/>
      <c r="G1277" s="17"/>
      <c r="J1277" s="10"/>
    </row>
    <row r="1278">
      <c r="B1278" s="14"/>
      <c r="C1278" s="15"/>
      <c r="D1278" s="15"/>
      <c r="E1278" s="16"/>
      <c r="G1278" s="17"/>
      <c r="J1278" s="10"/>
    </row>
    <row r="1279">
      <c r="B1279" s="11"/>
      <c r="C1279" s="12"/>
      <c r="D1279" s="12"/>
      <c r="E1279" s="13"/>
      <c r="G1279" s="17"/>
      <c r="J1279" s="10"/>
    </row>
    <row r="1280">
      <c r="B1280" s="14"/>
      <c r="C1280" s="15"/>
      <c r="D1280" s="15"/>
      <c r="E1280" s="16"/>
      <c r="G1280" s="17"/>
      <c r="J1280" s="10"/>
    </row>
    <row r="1281">
      <c r="B1281" s="11"/>
      <c r="C1281" s="12"/>
      <c r="D1281" s="12"/>
      <c r="E1281" s="13"/>
      <c r="G1281" s="17"/>
      <c r="J1281" s="10"/>
    </row>
    <row r="1282">
      <c r="B1282" s="14"/>
      <c r="C1282" s="15"/>
      <c r="D1282" s="15"/>
      <c r="E1282" s="16"/>
      <c r="G1282" s="17"/>
      <c r="J1282" s="10"/>
    </row>
    <row r="1283">
      <c r="B1283" s="11"/>
      <c r="C1283" s="12"/>
      <c r="D1283" s="12"/>
      <c r="E1283" s="13"/>
      <c r="G1283" s="17"/>
      <c r="J1283" s="10"/>
    </row>
    <row r="1284">
      <c r="B1284" s="14"/>
      <c r="C1284" s="15"/>
      <c r="D1284" s="15"/>
      <c r="E1284" s="16"/>
      <c r="G1284" s="17"/>
      <c r="J1284" s="10"/>
    </row>
    <row r="1285">
      <c r="B1285" s="11"/>
      <c r="C1285" s="12"/>
      <c r="D1285" s="12"/>
      <c r="E1285" s="13"/>
      <c r="G1285" s="17"/>
      <c r="J1285" s="10"/>
    </row>
    <row r="1286">
      <c r="B1286" s="14"/>
      <c r="C1286" s="15"/>
      <c r="D1286" s="15"/>
      <c r="E1286" s="16"/>
      <c r="G1286" s="17"/>
      <c r="J1286" s="10"/>
    </row>
    <row r="1287">
      <c r="B1287" s="11"/>
      <c r="C1287" s="12"/>
      <c r="D1287" s="12"/>
      <c r="E1287" s="13"/>
      <c r="G1287" s="17"/>
      <c r="J1287" s="10"/>
    </row>
    <row r="1288">
      <c r="B1288" s="14"/>
      <c r="C1288" s="15"/>
      <c r="D1288" s="15"/>
      <c r="E1288" s="16"/>
      <c r="G1288" s="17"/>
      <c r="J1288" s="10"/>
    </row>
    <row r="1289">
      <c r="B1289" s="11"/>
      <c r="C1289" s="12"/>
      <c r="D1289" s="12"/>
      <c r="E1289" s="13"/>
      <c r="G1289" s="17"/>
      <c r="J1289" s="10"/>
    </row>
    <row r="1290">
      <c r="B1290" s="14"/>
      <c r="C1290" s="15"/>
      <c r="D1290" s="15"/>
      <c r="E1290" s="16"/>
      <c r="G1290" s="17"/>
      <c r="J1290" s="10"/>
    </row>
    <row r="1291">
      <c r="B1291" s="11"/>
      <c r="C1291" s="12"/>
      <c r="D1291" s="12"/>
      <c r="E1291" s="13"/>
      <c r="G1291" s="17"/>
      <c r="J1291" s="10"/>
    </row>
    <row r="1292">
      <c r="B1292" s="14"/>
      <c r="C1292" s="15"/>
      <c r="D1292" s="15"/>
      <c r="E1292" s="16"/>
      <c r="G1292" s="17"/>
      <c r="J1292" s="10"/>
    </row>
    <row r="1293">
      <c r="B1293" s="11"/>
      <c r="C1293" s="12"/>
      <c r="D1293" s="12"/>
      <c r="E1293" s="13"/>
      <c r="G1293" s="17"/>
      <c r="J1293" s="10"/>
    </row>
    <row r="1294">
      <c r="B1294" s="14"/>
      <c r="C1294" s="15"/>
      <c r="D1294" s="15"/>
      <c r="E1294" s="16"/>
      <c r="G1294" s="17"/>
      <c r="J1294" s="10"/>
    </row>
    <row r="1295">
      <c r="B1295" s="11"/>
      <c r="C1295" s="12"/>
      <c r="D1295" s="12"/>
      <c r="E1295" s="13"/>
      <c r="G1295" s="17"/>
      <c r="J1295" s="10"/>
    </row>
    <row r="1296">
      <c r="B1296" s="14"/>
      <c r="C1296" s="15"/>
      <c r="D1296" s="15"/>
      <c r="E1296" s="16"/>
      <c r="G1296" s="17"/>
      <c r="J1296" s="10"/>
    </row>
    <row r="1297">
      <c r="B1297" s="11"/>
      <c r="C1297" s="12"/>
      <c r="D1297" s="12"/>
      <c r="E1297" s="13"/>
      <c r="G1297" s="17"/>
      <c r="J1297" s="10"/>
    </row>
    <row r="1298">
      <c r="B1298" s="14"/>
      <c r="C1298" s="15"/>
      <c r="D1298" s="15"/>
      <c r="E1298" s="16"/>
      <c r="G1298" s="17"/>
      <c r="J1298" s="10"/>
    </row>
    <row r="1299">
      <c r="B1299" s="11"/>
      <c r="C1299" s="12"/>
      <c r="D1299" s="12"/>
      <c r="E1299" s="13"/>
      <c r="G1299" s="17"/>
      <c r="J1299" s="10"/>
    </row>
    <row r="1300">
      <c r="B1300" s="14"/>
      <c r="C1300" s="15"/>
      <c r="D1300" s="15"/>
      <c r="E1300" s="16"/>
      <c r="G1300" s="17"/>
      <c r="J1300" s="10"/>
    </row>
    <row r="1301">
      <c r="B1301" s="11"/>
      <c r="C1301" s="12"/>
      <c r="D1301" s="12"/>
      <c r="E1301" s="13"/>
      <c r="G1301" s="17"/>
      <c r="J1301" s="10"/>
    </row>
    <row r="1302">
      <c r="B1302" s="14"/>
      <c r="C1302" s="15"/>
      <c r="D1302" s="15"/>
      <c r="E1302" s="16"/>
      <c r="G1302" s="17"/>
      <c r="J1302" s="10"/>
    </row>
    <row r="1303">
      <c r="B1303" s="11"/>
      <c r="C1303" s="12"/>
      <c r="D1303" s="12"/>
      <c r="E1303" s="13"/>
      <c r="G1303" s="17"/>
      <c r="J1303" s="10"/>
    </row>
    <row r="1304">
      <c r="B1304" s="14"/>
      <c r="C1304" s="15"/>
      <c r="D1304" s="15"/>
      <c r="E1304" s="16"/>
      <c r="G1304" s="17"/>
      <c r="J1304" s="10"/>
    </row>
    <row r="1305">
      <c r="B1305" s="11"/>
      <c r="C1305" s="12"/>
      <c r="D1305" s="12"/>
      <c r="E1305" s="13"/>
      <c r="G1305" s="17"/>
      <c r="J1305" s="10"/>
    </row>
    <row r="1306">
      <c r="B1306" s="14"/>
      <c r="C1306" s="15"/>
      <c r="D1306" s="15"/>
      <c r="E1306" s="16"/>
      <c r="G1306" s="17"/>
      <c r="J1306" s="10"/>
    </row>
    <row r="1307">
      <c r="B1307" s="11"/>
      <c r="C1307" s="12"/>
      <c r="D1307" s="12"/>
      <c r="E1307" s="13"/>
      <c r="G1307" s="17"/>
      <c r="J1307" s="10"/>
    </row>
    <row r="1308">
      <c r="B1308" s="14"/>
      <c r="C1308" s="15"/>
      <c r="D1308" s="15"/>
      <c r="E1308" s="16"/>
      <c r="G1308" s="17"/>
      <c r="J1308" s="10"/>
    </row>
    <row r="1309">
      <c r="B1309" s="11"/>
      <c r="C1309" s="12"/>
      <c r="D1309" s="12"/>
      <c r="E1309" s="13"/>
      <c r="G1309" s="17"/>
      <c r="J1309" s="10"/>
    </row>
    <row r="1310">
      <c r="B1310" s="14"/>
      <c r="C1310" s="15"/>
      <c r="D1310" s="15"/>
      <c r="E1310" s="16"/>
      <c r="G1310" s="17"/>
      <c r="J1310" s="10"/>
    </row>
    <row r="1311">
      <c r="B1311" s="11"/>
      <c r="C1311" s="12"/>
      <c r="D1311" s="12"/>
      <c r="E1311" s="13"/>
      <c r="G1311" s="17"/>
      <c r="J1311" s="10"/>
    </row>
    <row r="1312">
      <c r="B1312" s="14"/>
      <c r="C1312" s="15"/>
      <c r="D1312" s="15"/>
      <c r="E1312" s="16"/>
      <c r="G1312" s="17"/>
      <c r="J1312" s="10"/>
    </row>
    <row r="1313">
      <c r="B1313" s="11"/>
      <c r="C1313" s="12"/>
      <c r="D1313" s="12"/>
      <c r="E1313" s="13"/>
      <c r="G1313" s="17"/>
      <c r="J1313" s="10"/>
    </row>
    <row r="1314">
      <c r="B1314" s="14"/>
      <c r="C1314" s="15"/>
      <c r="D1314" s="15"/>
      <c r="E1314" s="16"/>
      <c r="G1314" s="17"/>
      <c r="J1314" s="10"/>
    </row>
    <row r="1315">
      <c r="B1315" s="11"/>
      <c r="C1315" s="12"/>
      <c r="D1315" s="12"/>
      <c r="E1315" s="13"/>
      <c r="G1315" s="17"/>
      <c r="J1315" s="10"/>
    </row>
    <row r="1316">
      <c r="B1316" s="14"/>
      <c r="C1316" s="15"/>
      <c r="D1316" s="15"/>
      <c r="E1316" s="16"/>
      <c r="G1316" s="17"/>
      <c r="J1316" s="10"/>
    </row>
    <row r="1317">
      <c r="B1317" s="11"/>
      <c r="C1317" s="12"/>
      <c r="D1317" s="12"/>
      <c r="E1317" s="13"/>
      <c r="G1317" s="17"/>
      <c r="J1317" s="10"/>
    </row>
    <row r="1318">
      <c r="B1318" s="14"/>
      <c r="C1318" s="15"/>
      <c r="D1318" s="15"/>
      <c r="E1318" s="16"/>
      <c r="G1318" s="17"/>
      <c r="J1318" s="10"/>
    </row>
    <row r="1319">
      <c r="B1319" s="11"/>
      <c r="C1319" s="12"/>
      <c r="D1319" s="12"/>
      <c r="E1319" s="13"/>
      <c r="G1319" s="17"/>
      <c r="J1319" s="10"/>
    </row>
    <row r="1320">
      <c r="B1320" s="14"/>
      <c r="C1320" s="15"/>
      <c r="D1320" s="15"/>
      <c r="E1320" s="16"/>
      <c r="G1320" s="17"/>
      <c r="J1320" s="10"/>
    </row>
    <row r="1321">
      <c r="B1321" s="11"/>
      <c r="C1321" s="12"/>
      <c r="D1321" s="12"/>
      <c r="E1321" s="13"/>
      <c r="G1321" s="17"/>
      <c r="J1321" s="10"/>
    </row>
    <row r="1322">
      <c r="B1322" s="14"/>
      <c r="C1322" s="15"/>
      <c r="D1322" s="15"/>
      <c r="E1322" s="16"/>
      <c r="G1322" s="17"/>
      <c r="J1322" s="10"/>
    </row>
    <row r="1323">
      <c r="B1323" s="11"/>
      <c r="C1323" s="12"/>
      <c r="D1323" s="12"/>
      <c r="E1323" s="13"/>
      <c r="G1323" s="17"/>
      <c r="J1323" s="10"/>
    </row>
    <row r="1324">
      <c r="B1324" s="14"/>
      <c r="C1324" s="15"/>
      <c r="D1324" s="15"/>
      <c r="E1324" s="16"/>
      <c r="G1324" s="17"/>
      <c r="J1324" s="10"/>
    </row>
    <row r="1325">
      <c r="B1325" s="11"/>
      <c r="C1325" s="12"/>
      <c r="D1325" s="12"/>
      <c r="E1325" s="13"/>
      <c r="G1325" s="17"/>
      <c r="J1325" s="10"/>
    </row>
    <row r="1326">
      <c r="B1326" s="14"/>
      <c r="C1326" s="15"/>
      <c r="D1326" s="15"/>
      <c r="E1326" s="16"/>
      <c r="G1326" s="17"/>
      <c r="J1326" s="10"/>
    </row>
    <row r="1327">
      <c r="B1327" s="11"/>
      <c r="C1327" s="12"/>
      <c r="D1327" s="12"/>
      <c r="E1327" s="13"/>
      <c r="G1327" s="17"/>
      <c r="J1327" s="10"/>
    </row>
    <row r="1328">
      <c r="B1328" s="14"/>
      <c r="C1328" s="15"/>
      <c r="D1328" s="15"/>
      <c r="E1328" s="16"/>
      <c r="G1328" s="17"/>
      <c r="J1328" s="10"/>
    </row>
    <row r="1329">
      <c r="B1329" s="11"/>
      <c r="C1329" s="12"/>
      <c r="D1329" s="12"/>
      <c r="E1329" s="13"/>
      <c r="G1329" s="17"/>
      <c r="J1329" s="10"/>
    </row>
    <row r="1330">
      <c r="B1330" s="14"/>
      <c r="C1330" s="15"/>
      <c r="D1330" s="15"/>
      <c r="E1330" s="16"/>
      <c r="G1330" s="17"/>
      <c r="J1330" s="10"/>
    </row>
    <row r="1331">
      <c r="B1331" s="11"/>
      <c r="C1331" s="12"/>
      <c r="D1331" s="12"/>
      <c r="E1331" s="13"/>
      <c r="G1331" s="17"/>
      <c r="J1331" s="10"/>
    </row>
    <row r="1332">
      <c r="B1332" s="14"/>
      <c r="C1332" s="15"/>
      <c r="D1332" s="15"/>
      <c r="E1332" s="16"/>
      <c r="G1332" s="17"/>
      <c r="J1332" s="10"/>
    </row>
    <row r="1333">
      <c r="B1333" s="11"/>
      <c r="C1333" s="12"/>
      <c r="D1333" s="12"/>
      <c r="E1333" s="13"/>
      <c r="G1333" s="17"/>
      <c r="J1333" s="10"/>
    </row>
    <row r="1334">
      <c r="B1334" s="14"/>
      <c r="C1334" s="15"/>
      <c r="D1334" s="15"/>
      <c r="E1334" s="16"/>
      <c r="G1334" s="17"/>
      <c r="J1334" s="10"/>
    </row>
    <row r="1335">
      <c r="B1335" s="11"/>
      <c r="C1335" s="12"/>
      <c r="D1335" s="12"/>
      <c r="E1335" s="13"/>
      <c r="G1335" s="17"/>
      <c r="J1335" s="10"/>
    </row>
    <row r="1336">
      <c r="B1336" s="14"/>
      <c r="C1336" s="15"/>
      <c r="D1336" s="15"/>
      <c r="E1336" s="16"/>
      <c r="G1336" s="17"/>
      <c r="J1336" s="10"/>
    </row>
    <row r="1337">
      <c r="B1337" s="11"/>
      <c r="C1337" s="12"/>
      <c r="D1337" s="12"/>
      <c r="E1337" s="13"/>
      <c r="G1337" s="17"/>
      <c r="J1337" s="10"/>
    </row>
    <row r="1338">
      <c r="B1338" s="14"/>
      <c r="C1338" s="15"/>
      <c r="D1338" s="15"/>
      <c r="E1338" s="16"/>
      <c r="G1338" s="17"/>
      <c r="J1338" s="10"/>
    </row>
    <row r="1339">
      <c r="B1339" s="11"/>
      <c r="C1339" s="12"/>
      <c r="D1339" s="12"/>
      <c r="E1339" s="13"/>
      <c r="G1339" s="17"/>
      <c r="J1339" s="10"/>
    </row>
    <row r="1340">
      <c r="B1340" s="14"/>
      <c r="C1340" s="15"/>
      <c r="D1340" s="15"/>
      <c r="E1340" s="16"/>
      <c r="G1340" s="17"/>
      <c r="J1340" s="10"/>
    </row>
    <row r="1341">
      <c r="B1341" s="11"/>
      <c r="C1341" s="12"/>
      <c r="D1341" s="12"/>
      <c r="E1341" s="13"/>
      <c r="G1341" s="17"/>
      <c r="J1341" s="10"/>
    </row>
    <row r="1342">
      <c r="B1342" s="14"/>
      <c r="C1342" s="15"/>
      <c r="D1342" s="15"/>
      <c r="E1342" s="16"/>
      <c r="G1342" s="17"/>
      <c r="J1342" s="10"/>
    </row>
    <row r="1343">
      <c r="B1343" s="11"/>
      <c r="C1343" s="12"/>
      <c r="D1343" s="12"/>
      <c r="E1343" s="13"/>
      <c r="G1343" s="17"/>
      <c r="J1343" s="10"/>
    </row>
    <row r="1344">
      <c r="B1344" s="14"/>
      <c r="C1344" s="15"/>
      <c r="D1344" s="15"/>
      <c r="E1344" s="16"/>
      <c r="G1344" s="17"/>
      <c r="J1344" s="10"/>
    </row>
    <row r="1345">
      <c r="B1345" s="11"/>
      <c r="C1345" s="12"/>
      <c r="D1345" s="12"/>
      <c r="E1345" s="13"/>
      <c r="G1345" s="17"/>
      <c r="J1345" s="10"/>
    </row>
    <row r="1346">
      <c r="B1346" s="14"/>
      <c r="C1346" s="15"/>
      <c r="D1346" s="15"/>
      <c r="E1346" s="16"/>
      <c r="G1346" s="17"/>
      <c r="J1346" s="10"/>
    </row>
    <row r="1347">
      <c r="B1347" s="11"/>
      <c r="C1347" s="12"/>
      <c r="D1347" s="12"/>
      <c r="E1347" s="13"/>
      <c r="G1347" s="17"/>
      <c r="J1347" s="10"/>
    </row>
    <row r="1348">
      <c r="B1348" s="14"/>
      <c r="C1348" s="15"/>
      <c r="D1348" s="15"/>
      <c r="E1348" s="16"/>
      <c r="G1348" s="17"/>
      <c r="J1348" s="10"/>
    </row>
    <row r="1349">
      <c r="B1349" s="11"/>
      <c r="C1349" s="12"/>
      <c r="D1349" s="12"/>
      <c r="E1349" s="13"/>
      <c r="G1349" s="17"/>
      <c r="J1349" s="10"/>
    </row>
    <row r="1350">
      <c r="B1350" s="14"/>
      <c r="C1350" s="15"/>
      <c r="D1350" s="15"/>
      <c r="E1350" s="16"/>
      <c r="G1350" s="17"/>
      <c r="J1350" s="10"/>
    </row>
    <row r="1351">
      <c r="B1351" s="11"/>
      <c r="C1351" s="12"/>
      <c r="D1351" s="12"/>
      <c r="E1351" s="13"/>
      <c r="G1351" s="17"/>
      <c r="J1351" s="10"/>
    </row>
    <row r="1352">
      <c r="B1352" s="14"/>
      <c r="C1352" s="15"/>
      <c r="D1352" s="15"/>
      <c r="E1352" s="16"/>
      <c r="G1352" s="17"/>
      <c r="J1352" s="10"/>
    </row>
    <row r="1353">
      <c r="B1353" s="11"/>
      <c r="C1353" s="12"/>
      <c r="D1353" s="12"/>
      <c r="E1353" s="13"/>
      <c r="G1353" s="17"/>
      <c r="J1353" s="10"/>
    </row>
    <row r="1354">
      <c r="B1354" s="14"/>
      <c r="C1354" s="15"/>
      <c r="D1354" s="15"/>
      <c r="E1354" s="16"/>
      <c r="G1354" s="17"/>
      <c r="J1354" s="10"/>
    </row>
    <row r="1355">
      <c r="B1355" s="11"/>
      <c r="C1355" s="12"/>
      <c r="D1355" s="12"/>
      <c r="E1355" s="13"/>
      <c r="G1355" s="17"/>
      <c r="J1355" s="10"/>
    </row>
    <row r="1356">
      <c r="B1356" s="14"/>
      <c r="C1356" s="15"/>
      <c r="D1356" s="15"/>
      <c r="E1356" s="16"/>
      <c r="G1356" s="17"/>
      <c r="J1356" s="10"/>
    </row>
    <row r="1357">
      <c r="B1357" s="11"/>
      <c r="C1357" s="12"/>
      <c r="D1357" s="12"/>
      <c r="E1357" s="13"/>
      <c r="G1357" s="17"/>
      <c r="J1357" s="10"/>
    </row>
    <row r="1358">
      <c r="B1358" s="14"/>
      <c r="C1358" s="15"/>
      <c r="D1358" s="15"/>
      <c r="E1358" s="16"/>
      <c r="G1358" s="17"/>
      <c r="J1358" s="10"/>
    </row>
    <row r="1359">
      <c r="B1359" s="11"/>
      <c r="C1359" s="12"/>
      <c r="D1359" s="12"/>
      <c r="E1359" s="13"/>
      <c r="G1359" s="17"/>
      <c r="J1359" s="10"/>
    </row>
    <row r="1360">
      <c r="B1360" s="14"/>
      <c r="C1360" s="15"/>
      <c r="D1360" s="15"/>
      <c r="E1360" s="16"/>
      <c r="G1360" s="17"/>
      <c r="J1360" s="10"/>
    </row>
    <row r="1361">
      <c r="B1361" s="11"/>
      <c r="C1361" s="12"/>
      <c r="D1361" s="12"/>
      <c r="E1361" s="13"/>
      <c r="G1361" s="17"/>
      <c r="J1361" s="10"/>
    </row>
    <row r="1362">
      <c r="B1362" s="14"/>
      <c r="C1362" s="15"/>
      <c r="D1362" s="15"/>
      <c r="E1362" s="16"/>
      <c r="G1362" s="17"/>
      <c r="J1362" s="10"/>
    </row>
    <row r="1363">
      <c r="B1363" s="11"/>
      <c r="C1363" s="12"/>
      <c r="D1363" s="12"/>
      <c r="E1363" s="13"/>
      <c r="G1363" s="17"/>
      <c r="J1363" s="10"/>
    </row>
    <row r="1364">
      <c r="B1364" s="14"/>
      <c r="C1364" s="15"/>
      <c r="D1364" s="15"/>
      <c r="E1364" s="16"/>
      <c r="G1364" s="17"/>
      <c r="J1364" s="10"/>
    </row>
    <row r="1365">
      <c r="B1365" s="11"/>
      <c r="C1365" s="12"/>
      <c r="D1365" s="12"/>
      <c r="E1365" s="13"/>
      <c r="G1365" s="17"/>
      <c r="J1365" s="10"/>
    </row>
    <row r="1366">
      <c r="B1366" s="14"/>
      <c r="C1366" s="15"/>
      <c r="D1366" s="15"/>
      <c r="E1366" s="16"/>
      <c r="G1366" s="17"/>
      <c r="J1366" s="10"/>
    </row>
    <row r="1367">
      <c r="B1367" s="11"/>
      <c r="C1367" s="12"/>
      <c r="D1367" s="12"/>
      <c r="E1367" s="13"/>
      <c r="G1367" s="17"/>
      <c r="J1367" s="10"/>
    </row>
    <row r="1368">
      <c r="B1368" s="14"/>
      <c r="C1368" s="15"/>
      <c r="D1368" s="15"/>
      <c r="E1368" s="16"/>
      <c r="G1368" s="17"/>
      <c r="J1368" s="10"/>
    </row>
    <row r="1369">
      <c r="B1369" s="11"/>
      <c r="C1369" s="12"/>
      <c r="D1369" s="12"/>
      <c r="E1369" s="13"/>
      <c r="G1369" s="17"/>
      <c r="J1369" s="10"/>
    </row>
    <row r="1370">
      <c r="B1370" s="14"/>
      <c r="C1370" s="15"/>
      <c r="D1370" s="15"/>
      <c r="E1370" s="16"/>
      <c r="G1370" s="17"/>
      <c r="J1370" s="10"/>
    </row>
    <row r="1371">
      <c r="B1371" s="11"/>
      <c r="C1371" s="12"/>
      <c r="D1371" s="12"/>
      <c r="E1371" s="13"/>
      <c r="G1371" s="17"/>
      <c r="J1371" s="10"/>
    </row>
    <row r="1372">
      <c r="B1372" s="14"/>
      <c r="C1372" s="15"/>
      <c r="D1372" s="15"/>
      <c r="E1372" s="16"/>
      <c r="G1372" s="17"/>
      <c r="J1372" s="10"/>
    </row>
    <row r="1373">
      <c r="B1373" s="11"/>
      <c r="C1373" s="12"/>
      <c r="D1373" s="12"/>
      <c r="E1373" s="13"/>
      <c r="G1373" s="17"/>
      <c r="J1373" s="10"/>
    </row>
    <row r="1374">
      <c r="B1374" s="14"/>
      <c r="C1374" s="15"/>
      <c r="D1374" s="15"/>
      <c r="E1374" s="16"/>
      <c r="G1374" s="17"/>
      <c r="J1374" s="10"/>
    </row>
    <row r="1375">
      <c r="B1375" s="11"/>
      <c r="C1375" s="12"/>
      <c r="D1375" s="12"/>
      <c r="E1375" s="13"/>
      <c r="G1375" s="17"/>
      <c r="J1375" s="10"/>
    </row>
    <row r="1376">
      <c r="B1376" s="14"/>
      <c r="C1376" s="15"/>
      <c r="D1376" s="15"/>
      <c r="E1376" s="16"/>
      <c r="G1376" s="17"/>
      <c r="J1376" s="10"/>
    </row>
    <row r="1377">
      <c r="B1377" s="11"/>
      <c r="C1377" s="12"/>
      <c r="D1377" s="12"/>
      <c r="E1377" s="13"/>
      <c r="G1377" s="17"/>
      <c r="J1377" s="10"/>
    </row>
    <row r="1378">
      <c r="B1378" s="14"/>
      <c r="C1378" s="15"/>
      <c r="D1378" s="15"/>
      <c r="E1378" s="16"/>
      <c r="G1378" s="17"/>
      <c r="J1378" s="10"/>
    </row>
    <row r="1379">
      <c r="B1379" s="11"/>
      <c r="C1379" s="12"/>
      <c r="D1379" s="12"/>
      <c r="E1379" s="13"/>
      <c r="G1379" s="17"/>
      <c r="J1379" s="10"/>
    </row>
    <row r="1380">
      <c r="B1380" s="14"/>
      <c r="C1380" s="15"/>
      <c r="D1380" s="15"/>
      <c r="E1380" s="16"/>
      <c r="G1380" s="17"/>
      <c r="J1380" s="10"/>
    </row>
    <row r="1381">
      <c r="B1381" s="11"/>
      <c r="C1381" s="12"/>
      <c r="D1381" s="12"/>
      <c r="E1381" s="13"/>
      <c r="G1381" s="17"/>
      <c r="J1381" s="10"/>
    </row>
    <row r="1382">
      <c r="B1382" s="14"/>
      <c r="C1382" s="15"/>
      <c r="D1382" s="15"/>
      <c r="E1382" s="16"/>
      <c r="G1382" s="17"/>
      <c r="J1382" s="10"/>
    </row>
    <row r="1383">
      <c r="B1383" s="11"/>
      <c r="C1383" s="12"/>
      <c r="D1383" s="12"/>
      <c r="E1383" s="13"/>
      <c r="G1383" s="17"/>
      <c r="J1383" s="10"/>
    </row>
    <row r="1384">
      <c r="B1384" s="14"/>
      <c r="C1384" s="15"/>
      <c r="D1384" s="15"/>
      <c r="E1384" s="16"/>
      <c r="G1384" s="17"/>
      <c r="J1384" s="10"/>
    </row>
    <row r="1385">
      <c r="B1385" s="11"/>
      <c r="C1385" s="12"/>
      <c r="D1385" s="12"/>
      <c r="E1385" s="13"/>
      <c r="G1385" s="17"/>
      <c r="J1385" s="10"/>
    </row>
    <row r="1386">
      <c r="B1386" s="14"/>
      <c r="C1386" s="15"/>
      <c r="D1386" s="15"/>
      <c r="E1386" s="16"/>
      <c r="G1386" s="17"/>
      <c r="J1386" s="10"/>
    </row>
    <row r="1387">
      <c r="B1387" s="11"/>
      <c r="C1387" s="12"/>
      <c r="D1387" s="12"/>
      <c r="E1387" s="13"/>
      <c r="G1387" s="17"/>
      <c r="J1387" s="10"/>
    </row>
    <row r="1388">
      <c r="B1388" s="14"/>
      <c r="C1388" s="15"/>
      <c r="D1388" s="15"/>
      <c r="E1388" s="16"/>
      <c r="G1388" s="17"/>
      <c r="J1388" s="10"/>
    </row>
    <row r="1389">
      <c r="B1389" s="11"/>
      <c r="C1389" s="12"/>
      <c r="D1389" s="12"/>
      <c r="E1389" s="13"/>
      <c r="G1389" s="17"/>
      <c r="J1389" s="10"/>
    </row>
    <row r="1390">
      <c r="B1390" s="14"/>
      <c r="C1390" s="15"/>
      <c r="D1390" s="15"/>
      <c r="E1390" s="16"/>
      <c r="G1390" s="17"/>
      <c r="J1390" s="10"/>
    </row>
    <row r="1391">
      <c r="B1391" s="11"/>
      <c r="C1391" s="12"/>
      <c r="D1391" s="12"/>
      <c r="E1391" s="13"/>
      <c r="G1391" s="17"/>
      <c r="J1391" s="10"/>
    </row>
    <row r="1392">
      <c r="B1392" s="14"/>
      <c r="C1392" s="15"/>
      <c r="D1392" s="15"/>
      <c r="E1392" s="16"/>
      <c r="G1392" s="17"/>
      <c r="J1392" s="10"/>
    </row>
    <row r="1393">
      <c r="B1393" s="11"/>
      <c r="C1393" s="12"/>
      <c r="D1393" s="12"/>
      <c r="E1393" s="13"/>
      <c r="G1393" s="17"/>
      <c r="J1393" s="10"/>
    </row>
    <row r="1394">
      <c r="B1394" s="14"/>
      <c r="C1394" s="15"/>
      <c r="D1394" s="15"/>
      <c r="E1394" s="16"/>
      <c r="G1394" s="17"/>
      <c r="J1394" s="10"/>
    </row>
    <row r="1395">
      <c r="B1395" s="11"/>
      <c r="C1395" s="12"/>
      <c r="D1395" s="12"/>
      <c r="E1395" s="13"/>
      <c r="G1395" s="17"/>
      <c r="J1395" s="10"/>
    </row>
    <row r="1396">
      <c r="B1396" s="14"/>
      <c r="C1396" s="15"/>
      <c r="D1396" s="15"/>
      <c r="E1396" s="16"/>
      <c r="G1396" s="17"/>
      <c r="J1396" s="10"/>
    </row>
    <row r="1397">
      <c r="B1397" s="11"/>
      <c r="C1397" s="12"/>
      <c r="D1397" s="12"/>
      <c r="E1397" s="13"/>
      <c r="G1397" s="17"/>
      <c r="J1397" s="10"/>
    </row>
    <row r="1398">
      <c r="B1398" s="14"/>
      <c r="C1398" s="15"/>
      <c r="D1398" s="15"/>
      <c r="E1398" s="16"/>
      <c r="G1398" s="17"/>
      <c r="J1398" s="10"/>
    </row>
    <row r="1399">
      <c r="B1399" s="11"/>
      <c r="C1399" s="12"/>
      <c r="D1399" s="12"/>
      <c r="E1399" s="13"/>
      <c r="G1399" s="17"/>
      <c r="J1399" s="10"/>
    </row>
    <row r="1400">
      <c r="B1400" s="14"/>
      <c r="C1400" s="15"/>
      <c r="D1400" s="15"/>
      <c r="E1400" s="16"/>
      <c r="G1400" s="17"/>
      <c r="J1400" s="10"/>
    </row>
    <row r="1401">
      <c r="B1401" s="11"/>
      <c r="C1401" s="12"/>
      <c r="D1401" s="12"/>
      <c r="E1401" s="13"/>
      <c r="G1401" s="17"/>
      <c r="J1401" s="10"/>
    </row>
    <row r="1402">
      <c r="B1402" s="14"/>
      <c r="C1402" s="15"/>
      <c r="D1402" s="15"/>
      <c r="E1402" s="16"/>
      <c r="G1402" s="17"/>
      <c r="J1402" s="10"/>
    </row>
    <row r="1403">
      <c r="B1403" s="11"/>
      <c r="C1403" s="12"/>
      <c r="D1403" s="12"/>
      <c r="E1403" s="13"/>
      <c r="G1403" s="17"/>
      <c r="J1403" s="10"/>
    </row>
    <row r="1404">
      <c r="B1404" s="14"/>
      <c r="C1404" s="15"/>
      <c r="D1404" s="15"/>
      <c r="E1404" s="16"/>
      <c r="G1404" s="17"/>
      <c r="J1404" s="10"/>
    </row>
    <row r="1405">
      <c r="B1405" s="11"/>
      <c r="C1405" s="12"/>
      <c r="D1405" s="12"/>
      <c r="E1405" s="13"/>
      <c r="G1405" s="17"/>
      <c r="J1405" s="10"/>
    </row>
    <row r="1406">
      <c r="B1406" s="14"/>
      <c r="C1406" s="15"/>
      <c r="D1406" s="15"/>
      <c r="E1406" s="16"/>
      <c r="G1406" s="17"/>
      <c r="J1406" s="10"/>
    </row>
    <row r="1407">
      <c r="B1407" s="11"/>
      <c r="C1407" s="12"/>
      <c r="D1407" s="12"/>
      <c r="E1407" s="13"/>
      <c r="G1407" s="17"/>
      <c r="J1407" s="10"/>
    </row>
    <row r="1408">
      <c r="B1408" s="14"/>
      <c r="C1408" s="15"/>
      <c r="D1408" s="15"/>
      <c r="E1408" s="16"/>
      <c r="G1408" s="17"/>
      <c r="J1408" s="10"/>
    </row>
    <row r="1409">
      <c r="B1409" s="11"/>
      <c r="C1409" s="12"/>
      <c r="D1409" s="12"/>
      <c r="E1409" s="13"/>
      <c r="G1409" s="17"/>
      <c r="J1409" s="10"/>
    </row>
    <row r="1410">
      <c r="B1410" s="14"/>
      <c r="C1410" s="15"/>
      <c r="D1410" s="15"/>
      <c r="E1410" s="16"/>
      <c r="G1410" s="17"/>
      <c r="J1410" s="10"/>
    </row>
    <row r="1411">
      <c r="B1411" s="11"/>
      <c r="C1411" s="12"/>
      <c r="D1411" s="12"/>
      <c r="E1411" s="13"/>
      <c r="G1411" s="17"/>
      <c r="J1411" s="10"/>
    </row>
    <row r="1412">
      <c r="B1412" s="14"/>
      <c r="C1412" s="15"/>
      <c r="D1412" s="15"/>
      <c r="E1412" s="16"/>
      <c r="G1412" s="17"/>
      <c r="J1412" s="10"/>
    </row>
    <row r="1413">
      <c r="B1413" s="11"/>
      <c r="C1413" s="12"/>
      <c r="D1413" s="12"/>
      <c r="E1413" s="13"/>
      <c r="G1413" s="17"/>
      <c r="J1413" s="10"/>
    </row>
    <row r="1414">
      <c r="B1414" s="14"/>
      <c r="C1414" s="15"/>
      <c r="D1414" s="15"/>
      <c r="E1414" s="16"/>
      <c r="G1414" s="17"/>
      <c r="J1414" s="10"/>
    </row>
    <row r="1415">
      <c r="B1415" s="11"/>
      <c r="C1415" s="12"/>
      <c r="D1415" s="12"/>
      <c r="E1415" s="13"/>
      <c r="G1415" s="17"/>
      <c r="J1415" s="10"/>
    </row>
    <row r="1416">
      <c r="B1416" s="14"/>
      <c r="C1416" s="15"/>
      <c r="D1416" s="15"/>
      <c r="E1416" s="16"/>
      <c r="G1416" s="17"/>
      <c r="J1416" s="10"/>
    </row>
    <row r="1417">
      <c r="B1417" s="11"/>
      <c r="C1417" s="12"/>
      <c r="D1417" s="12"/>
      <c r="E1417" s="13"/>
      <c r="G1417" s="17"/>
      <c r="J1417" s="10"/>
    </row>
    <row r="1418">
      <c r="B1418" s="14"/>
      <c r="C1418" s="15"/>
      <c r="D1418" s="15"/>
      <c r="E1418" s="16"/>
      <c r="G1418" s="17"/>
      <c r="J1418" s="10"/>
    </row>
    <row r="1419">
      <c r="B1419" s="11"/>
      <c r="C1419" s="12"/>
      <c r="D1419" s="12"/>
      <c r="E1419" s="13"/>
      <c r="G1419" s="17"/>
      <c r="J1419" s="10"/>
    </row>
    <row r="1420">
      <c r="B1420" s="14"/>
      <c r="C1420" s="15"/>
      <c r="D1420" s="15"/>
      <c r="E1420" s="16"/>
      <c r="G1420" s="17"/>
      <c r="J1420" s="10"/>
    </row>
    <row r="1421">
      <c r="B1421" s="11"/>
      <c r="C1421" s="12"/>
      <c r="D1421" s="12"/>
      <c r="E1421" s="13"/>
      <c r="G1421" s="17"/>
      <c r="J1421" s="10"/>
    </row>
    <row r="1422">
      <c r="B1422" s="14"/>
      <c r="C1422" s="15"/>
      <c r="D1422" s="15"/>
      <c r="E1422" s="16"/>
      <c r="G1422" s="17"/>
      <c r="J1422" s="10"/>
    </row>
    <row r="1423">
      <c r="B1423" s="11"/>
      <c r="C1423" s="12"/>
      <c r="D1423" s="12"/>
      <c r="E1423" s="13"/>
      <c r="G1423" s="17"/>
      <c r="J1423" s="10"/>
    </row>
    <row r="1424">
      <c r="B1424" s="14"/>
      <c r="C1424" s="15"/>
      <c r="D1424" s="15"/>
      <c r="E1424" s="16"/>
      <c r="G1424" s="17"/>
      <c r="J1424" s="10"/>
    </row>
    <row r="1425">
      <c r="B1425" s="11"/>
      <c r="C1425" s="12"/>
      <c r="D1425" s="12"/>
      <c r="E1425" s="13"/>
      <c r="G1425" s="17"/>
      <c r="J1425" s="10"/>
    </row>
    <row r="1426">
      <c r="B1426" s="14"/>
      <c r="C1426" s="15"/>
      <c r="D1426" s="15"/>
      <c r="E1426" s="16"/>
      <c r="G1426" s="17"/>
      <c r="J1426" s="10"/>
    </row>
    <row r="1427">
      <c r="B1427" s="11"/>
      <c r="C1427" s="12"/>
      <c r="D1427" s="12"/>
      <c r="E1427" s="13"/>
      <c r="G1427" s="17"/>
      <c r="J1427" s="10"/>
    </row>
    <row r="1428">
      <c r="B1428" s="14"/>
      <c r="C1428" s="15"/>
      <c r="D1428" s="15"/>
      <c r="E1428" s="16"/>
      <c r="G1428" s="17"/>
      <c r="J1428" s="10"/>
    </row>
    <row r="1429">
      <c r="B1429" s="11"/>
      <c r="C1429" s="12"/>
      <c r="D1429" s="12"/>
      <c r="E1429" s="13"/>
      <c r="G1429" s="17"/>
      <c r="J1429" s="10"/>
    </row>
    <row r="1430">
      <c r="B1430" s="14"/>
      <c r="C1430" s="15"/>
      <c r="D1430" s="15"/>
      <c r="E1430" s="16"/>
      <c r="G1430" s="17"/>
      <c r="J1430" s="10"/>
    </row>
    <row r="1431">
      <c r="B1431" s="11"/>
      <c r="C1431" s="12"/>
      <c r="D1431" s="12"/>
      <c r="E1431" s="13"/>
      <c r="G1431" s="17"/>
      <c r="J1431" s="10"/>
    </row>
    <row r="1432">
      <c r="B1432" s="14"/>
      <c r="C1432" s="15"/>
      <c r="D1432" s="15"/>
      <c r="E1432" s="16"/>
      <c r="G1432" s="17"/>
      <c r="J1432" s="10"/>
    </row>
    <row r="1433">
      <c r="B1433" s="11"/>
      <c r="C1433" s="12"/>
      <c r="D1433" s="12"/>
      <c r="E1433" s="13"/>
      <c r="G1433" s="17"/>
      <c r="J1433" s="10"/>
    </row>
    <row r="1434">
      <c r="B1434" s="14"/>
      <c r="C1434" s="15"/>
      <c r="D1434" s="15"/>
      <c r="E1434" s="16"/>
      <c r="G1434" s="17"/>
      <c r="J1434" s="10"/>
    </row>
    <row r="1435">
      <c r="B1435" s="11"/>
      <c r="C1435" s="12"/>
      <c r="D1435" s="12"/>
      <c r="E1435" s="13"/>
      <c r="G1435" s="17"/>
      <c r="J1435" s="10"/>
    </row>
    <row r="1436">
      <c r="B1436" s="14"/>
      <c r="C1436" s="15"/>
      <c r="D1436" s="15"/>
      <c r="E1436" s="16"/>
      <c r="G1436" s="17"/>
      <c r="J1436" s="10"/>
    </row>
    <row r="1437">
      <c r="B1437" s="11"/>
      <c r="C1437" s="12"/>
      <c r="D1437" s="12"/>
      <c r="E1437" s="13"/>
      <c r="G1437" s="17"/>
      <c r="J1437" s="10"/>
    </row>
    <row r="1438">
      <c r="B1438" s="14"/>
      <c r="C1438" s="15"/>
      <c r="D1438" s="15"/>
      <c r="E1438" s="16"/>
      <c r="G1438" s="17"/>
      <c r="J1438" s="10"/>
    </row>
    <row r="1439">
      <c r="B1439" s="11"/>
      <c r="C1439" s="12"/>
      <c r="D1439" s="12"/>
      <c r="E1439" s="13"/>
      <c r="G1439" s="17"/>
      <c r="J1439" s="10"/>
    </row>
    <row r="1440">
      <c r="B1440" s="14"/>
      <c r="C1440" s="15"/>
      <c r="D1440" s="15"/>
      <c r="E1440" s="16"/>
      <c r="G1440" s="17"/>
      <c r="J1440" s="10"/>
    </row>
    <row r="1441">
      <c r="B1441" s="11"/>
      <c r="C1441" s="12"/>
      <c r="D1441" s="12"/>
      <c r="E1441" s="13"/>
      <c r="G1441" s="17"/>
      <c r="J1441" s="10"/>
    </row>
    <row r="1442">
      <c r="B1442" s="14"/>
      <c r="C1442" s="15"/>
      <c r="D1442" s="15"/>
      <c r="E1442" s="16"/>
      <c r="G1442" s="17"/>
      <c r="J1442" s="10"/>
    </row>
    <row r="1443">
      <c r="B1443" s="11"/>
      <c r="C1443" s="12"/>
      <c r="D1443" s="12"/>
      <c r="E1443" s="13"/>
      <c r="G1443" s="17"/>
      <c r="J1443" s="10"/>
    </row>
    <row r="1444">
      <c r="B1444" s="14"/>
      <c r="C1444" s="15"/>
      <c r="D1444" s="15"/>
      <c r="E1444" s="16"/>
      <c r="G1444" s="17"/>
      <c r="J1444" s="10"/>
    </row>
    <row r="1445">
      <c r="B1445" s="11"/>
      <c r="C1445" s="12"/>
      <c r="D1445" s="12"/>
      <c r="E1445" s="13"/>
      <c r="G1445" s="17"/>
      <c r="J1445" s="10"/>
    </row>
    <row r="1446">
      <c r="B1446" s="14"/>
      <c r="C1446" s="15"/>
      <c r="D1446" s="15"/>
      <c r="E1446" s="16"/>
      <c r="G1446" s="17"/>
      <c r="J1446" s="10"/>
    </row>
    <row r="1447">
      <c r="B1447" s="11"/>
      <c r="C1447" s="12"/>
      <c r="D1447" s="12"/>
      <c r="E1447" s="13"/>
      <c r="G1447" s="17"/>
      <c r="J1447" s="10"/>
    </row>
    <row r="1448">
      <c r="B1448" s="14"/>
      <c r="C1448" s="15"/>
      <c r="D1448" s="15"/>
      <c r="E1448" s="16"/>
      <c r="G1448" s="17"/>
      <c r="J1448" s="10"/>
    </row>
    <row r="1449">
      <c r="B1449" s="11"/>
      <c r="C1449" s="12"/>
      <c r="D1449" s="12"/>
      <c r="E1449" s="13"/>
      <c r="G1449" s="17"/>
      <c r="J1449" s="10"/>
    </row>
    <row r="1450">
      <c r="B1450" s="14"/>
      <c r="C1450" s="15"/>
      <c r="D1450" s="15"/>
      <c r="E1450" s="16"/>
      <c r="G1450" s="17"/>
      <c r="J1450" s="10"/>
    </row>
    <row r="1451">
      <c r="B1451" s="11"/>
      <c r="C1451" s="12"/>
      <c r="D1451" s="12"/>
      <c r="E1451" s="13"/>
      <c r="G1451" s="17"/>
      <c r="J1451" s="10"/>
    </row>
    <row r="1452">
      <c r="B1452" s="14"/>
      <c r="C1452" s="15"/>
      <c r="D1452" s="15"/>
      <c r="E1452" s="16"/>
      <c r="G1452" s="17"/>
      <c r="J1452" s="10"/>
    </row>
    <row r="1453">
      <c r="B1453" s="11"/>
      <c r="C1453" s="12"/>
      <c r="D1453" s="12"/>
      <c r="E1453" s="13"/>
      <c r="G1453" s="17"/>
      <c r="J1453" s="10"/>
    </row>
    <row r="1454">
      <c r="B1454" s="14"/>
      <c r="C1454" s="15"/>
      <c r="D1454" s="15"/>
      <c r="E1454" s="16"/>
      <c r="G1454" s="17"/>
      <c r="J1454" s="10"/>
    </row>
    <row r="1455">
      <c r="B1455" s="11"/>
      <c r="C1455" s="12"/>
      <c r="D1455" s="12"/>
      <c r="E1455" s="13"/>
      <c r="G1455" s="17"/>
      <c r="J1455" s="10"/>
    </row>
    <row r="1456">
      <c r="B1456" s="14"/>
      <c r="C1456" s="15"/>
      <c r="D1456" s="15"/>
      <c r="E1456" s="16"/>
      <c r="G1456" s="17"/>
      <c r="J1456" s="10"/>
    </row>
    <row r="1457">
      <c r="B1457" s="11"/>
      <c r="C1457" s="12"/>
      <c r="D1457" s="12"/>
      <c r="E1457" s="13"/>
      <c r="G1457" s="17"/>
      <c r="J1457" s="10"/>
    </row>
    <row r="1458">
      <c r="B1458" s="14"/>
      <c r="C1458" s="15"/>
      <c r="D1458" s="15"/>
      <c r="E1458" s="16"/>
      <c r="G1458" s="17"/>
      <c r="J1458" s="10"/>
    </row>
    <row r="1459">
      <c r="B1459" s="11"/>
      <c r="C1459" s="12"/>
      <c r="D1459" s="12"/>
      <c r="E1459" s="13"/>
      <c r="G1459" s="17"/>
      <c r="J1459" s="10"/>
    </row>
    <row r="1460">
      <c r="B1460" s="14"/>
      <c r="C1460" s="15"/>
      <c r="D1460" s="15"/>
      <c r="E1460" s="16"/>
      <c r="G1460" s="17"/>
      <c r="J1460" s="10"/>
    </row>
    <row r="1461">
      <c r="B1461" s="11"/>
      <c r="C1461" s="12"/>
      <c r="D1461" s="12"/>
      <c r="E1461" s="13"/>
      <c r="G1461" s="17"/>
      <c r="J1461" s="10"/>
    </row>
    <row r="1462">
      <c r="B1462" s="14"/>
      <c r="C1462" s="15"/>
      <c r="D1462" s="15"/>
      <c r="E1462" s="16"/>
      <c r="G1462" s="17"/>
      <c r="J1462" s="10"/>
    </row>
    <row r="1463">
      <c r="B1463" s="11"/>
      <c r="C1463" s="12"/>
      <c r="D1463" s="12"/>
      <c r="E1463" s="13"/>
      <c r="G1463" s="17"/>
      <c r="J1463" s="10"/>
    </row>
    <row r="1464">
      <c r="B1464" s="14"/>
      <c r="C1464" s="15"/>
      <c r="D1464" s="15"/>
      <c r="E1464" s="16"/>
      <c r="G1464" s="17"/>
      <c r="J1464" s="10"/>
    </row>
    <row r="1465">
      <c r="B1465" s="11"/>
      <c r="C1465" s="12"/>
      <c r="D1465" s="12"/>
      <c r="E1465" s="13"/>
      <c r="G1465" s="17"/>
      <c r="J1465" s="10"/>
    </row>
    <row r="1466">
      <c r="B1466" s="14"/>
      <c r="C1466" s="15"/>
      <c r="D1466" s="15"/>
      <c r="E1466" s="16"/>
      <c r="G1466" s="17"/>
      <c r="J1466" s="10"/>
    </row>
    <row r="1467">
      <c r="B1467" s="11"/>
      <c r="C1467" s="12"/>
      <c r="D1467" s="12"/>
      <c r="E1467" s="13"/>
      <c r="G1467" s="17"/>
      <c r="J1467" s="10"/>
    </row>
    <row r="1468">
      <c r="B1468" s="14"/>
      <c r="C1468" s="15"/>
      <c r="D1468" s="15"/>
      <c r="E1468" s="16"/>
      <c r="G1468" s="17"/>
      <c r="J1468" s="10"/>
    </row>
    <row r="1469">
      <c r="B1469" s="11"/>
      <c r="C1469" s="12"/>
      <c r="D1469" s="12"/>
      <c r="E1469" s="13"/>
      <c r="G1469" s="17"/>
      <c r="J1469" s="10"/>
    </row>
    <row r="1470">
      <c r="B1470" s="14"/>
      <c r="C1470" s="15"/>
      <c r="D1470" s="15"/>
      <c r="E1470" s="16"/>
      <c r="G1470" s="17"/>
      <c r="J1470" s="10"/>
    </row>
    <row r="1471">
      <c r="B1471" s="11"/>
      <c r="C1471" s="12"/>
      <c r="D1471" s="12"/>
      <c r="E1471" s="13"/>
      <c r="G1471" s="17"/>
      <c r="J1471" s="10"/>
    </row>
    <row r="1472">
      <c r="B1472" s="14"/>
      <c r="C1472" s="15"/>
      <c r="D1472" s="15"/>
      <c r="E1472" s="16"/>
      <c r="G1472" s="17"/>
      <c r="J1472" s="10"/>
    </row>
    <row r="1473">
      <c r="B1473" s="11"/>
      <c r="C1473" s="12"/>
      <c r="D1473" s="12"/>
      <c r="E1473" s="13"/>
      <c r="G1473" s="17"/>
      <c r="J1473" s="10"/>
    </row>
    <row r="1474">
      <c r="B1474" s="14"/>
      <c r="C1474" s="15"/>
      <c r="D1474" s="15"/>
      <c r="E1474" s="16"/>
      <c r="G1474" s="17"/>
      <c r="J1474" s="10"/>
    </row>
    <row r="1475">
      <c r="B1475" s="11"/>
      <c r="C1475" s="12"/>
      <c r="D1475" s="12"/>
      <c r="E1475" s="13"/>
      <c r="G1475" s="17"/>
      <c r="J1475" s="10"/>
    </row>
    <row r="1476">
      <c r="B1476" s="14"/>
      <c r="C1476" s="15"/>
      <c r="D1476" s="15"/>
      <c r="E1476" s="16"/>
      <c r="G1476" s="17"/>
      <c r="J1476" s="10"/>
    </row>
    <row r="1477">
      <c r="B1477" s="11"/>
      <c r="C1477" s="12"/>
      <c r="D1477" s="12"/>
      <c r="E1477" s="13"/>
      <c r="G1477" s="17"/>
      <c r="J1477" s="10"/>
    </row>
    <row r="1478">
      <c r="B1478" s="14"/>
      <c r="C1478" s="15"/>
      <c r="D1478" s="15"/>
      <c r="E1478" s="16"/>
      <c r="G1478" s="17"/>
      <c r="J1478" s="10"/>
    </row>
    <row r="1479">
      <c r="B1479" s="11"/>
      <c r="C1479" s="12"/>
      <c r="D1479" s="12"/>
      <c r="E1479" s="13"/>
      <c r="G1479" s="17"/>
      <c r="J1479" s="10"/>
    </row>
    <row r="1480">
      <c r="B1480" s="14"/>
      <c r="C1480" s="15"/>
      <c r="D1480" s="15"/>
      <c r="E1480" s="16"/>
      <c r="G1480" s="17"/>
      <c r="J1480" s="10"/>
    </row>
    <row r="1481">
      <c r="B1481" s="11"/>
      <c r="C1481" s="12"/>
      <c r="D1481" s="12"/>
      <c r="E1481" s="13"/>
      <c r="G1481" s="17"/>
      <c r="J1481" s="10"/>
    </row>
    <row r="1482">
      <c r="B1482" s="14"/>
      <c r="C1482" s="15"/>
      <c r="D1482" s="15"/>
      <c r="E1482" s="16"/>
      <c r="G1482" s="17"/>
      <c r="J1482" s="10"/>
    </row>
    <row r="1483">
      <c r="B1483" s="11"/>
      <c r="C1483" s="12"/>
      <c r="D1483" s="12"/>
      <c r="E1483" s="13"/>
      <c r="G1483" s="17"/>
      <c r="J1483" s="10"/>
    </row>
    <row r="1484">
      <c r="B1484" s="14"/>
      <c r="C1484" s="15"/>
      <c r="D1484" s="15"/>
      <c r="E1484" s="16"/>
      <c r="G1484" s="17"/>
      <c r="J1484" s="10"/>
    </row>
    <row r="1485">
      <c r="B1485" s="11"/>
      <c r="C1485" s="12"/>
      <c r="D1485" s="12"/>
      <c r="E1485" s="13"/>
      <c r="G1485" s="17"/>
      <c r="J1485" s="10"/>
    </row>
    <row r="1486">
      <c r="B1486" s="14"/>
      <c r="C1486" s="15"/>
      <c r="D1486" s="15"/>
      <c r="E1486" s="16"/>
      <c r="G1486" s="17"/>
      <c r="J1486" s="10"/>
    </row>
    <row r="1487">
      <c r="B1487" s="11"/>
      <c r="C1487" s="12"/>
      <c r="D1487" s="12"/>
      <c r="E1487" s="13"/>
      <c r="G1487" s="17"/>
      <c r="J1487" s="10"/>
    </row>
    <row r="1488">
      <c r="B1488" s="14"/>
      <c r="C1488" s="15"/>
      <c r="D1488" s="15"/>
      <c r="E1488" s="16"/>
      <c r="G1488" s="17"/>
      <c r="J1488" s="10"/>
    </row>
    <row r="1489">
      <c r="B1489" s="11"/>
      <c r="C1489" s="12"/>
      <c r="D1489" s="12"/>
      <c r="E1489" s="13"/>
      <c r="G1489" s="17"/>
      <c r="J1489" s="10"/>
    </row>
    <row r="1490">
      <c r="B1490" s="14"/>
      <c r="C1490" s="15"/>
      <c r="D1490" s="15"/>
      <c r="E1490" s="16"/>
      <c r="G1490" s="17"/>
      <c r="J1490" s="10"/>
    </row>
    <row r="1491">
      <c r="B1491" s="11"/>
      <c r="C1491" s="12"/>
      <c r="D1491" s="12"/>
      <c r="E1491" s="13"/>
      <c r="G1491" s="17"/>
      <c r="J1491" s="10"/>
    </row>
    <row r="1492">
      <c r="B1492" s="14"/>
      <c r="C1492" s="15"/>
      <c r="D1492" s="15"/>
      <c r="E1492" s="16"/>
      <c r="G1492" s="17"/>
      <c r="J1492" s="10"/>
    </row>
    <row r="1493">
      <c r="B1493" s="11"/>
      <c r="C1493" s="12"/>
      <c r="D1493" s="12"/>
      <c r="E1493" s="13"/>
      <c r="G1493" s="17"/>
      <c r="J1493" s="10"/>
    </row>
    <row r="1494">
      <c r="B1494" s="14"/>
      <c r="C1494" s="15"/>
      <c r="D1494" s="15"/>
      <c r="E1494" s="16"/>
      <c r="G1494" s="17"/>
      <c r="J1494" s="10"/>
    </row>
    <row r="1495">
      <c r="B1495" s="11"/>
      <c r="C1495" s="12"/>
      <c r="D1495" s="12"/>
      <c r="E1495" s="13"/>
      <c r="G1495" s="17"/>
      <c r="J1495" s="10"/>
    </row>
    <row r="1496">
      <c r="B1496" s="14"/>
      <c r="C1496" s="15"/>
      <c r="D1496" s="15"/>
      <c r="E1496" s="16"/>
      <c r="G1496" s="17"/>
      <c r="J1496" s="10"/>
    </row>
    <row r="1497">
      <c r="B1497" s="11"/>
      <c r="C1497" s="12"/>
      <c r="D1497" s="12"/>
      <c r="E1497" s="13"/>
      <c r="G1497" s="17"/>
      <c r="J1497" s="10"/>
    </row>
    <row r="1498">
      <c r="B1498" s="14"/>
      <c r="C1498" s="15"/>
      <c r="D1498" s="15"/>
      <c r="E1498" s="16"/>
      <c r="G1498" s="17"/>
      <c r="J1498" s="10"/>
    </row>
    <row r="1499">
      <c r="B1499" s="11"/>
      <c r="C1499" s="12"/>
      <c r="D1499" s="12"/>
      <c r="E1499" s="13"/>
      <c r="G1499" s="17"/>
      <c r="J1499" s="10"/>
    </row>
    <row r="1500">
      <c r="B1500" s="14"/>
      <c r="C1500" s="15"/>
      <c r="D1500" s="15"/>
      <c r="E1500" s="16"/>
      <c r="G1500" s="17"/>
      <c r="J1500" s="10"/>
    </row>
    <row r="1501">
      <c r="B1501" s="11"/>
      <c r="C1501" s="12"/>
      <c r="D1501" s="12"/>
      <c r="E1501" s="13"/>
      <c r="G1501" s="17"/>
      <c r="J1501" s="10"/>
    </row>
    <row r="1502">
      <c r="B1502" s="14"/>
      <c r="C1502" s="15"/>
      <c r="D1502" s="15"/>
      <c r="E1502" s="16"/>
      <c r="G1502" s="17"/>
      <c r="J1502" s="10"/>
    </row>
    <row r="1503">
      <c r="B1503" s="11"/>
      <c r="C1503" s="12"/>
      <c r="D1503" s="12"/>
      <c r="E1503" s="13"/>
      <c r="G1503" s="17"/>
      <c r="J1503" s="10"/>
    </row>
    <row r="1504">
      <c r="B1504" s="14"/>
      <c r="C1504" s="15"/>
      <c r="D1504" s="15"/>
      <c r="E1504" s="16"/>
      <c r="G1504" s="17"/>
      <c r="J1504" s="10"/>
    </row>
    <row r="1505">
      <c r="B1505" s="11"/>
      <c r="C1505" s="12"/>
      <c r="D1505" s="12"/>
      <c r="E1505" s="13"/>
      <c r="G1505" s="17"/>
      <c r="J1505" s="10"/>
    </row>
    <row r="1506">
      <c r="B1506" s="14"/>
      <c r="C1506" s="15"/>
      <c r="D1506" s="15"/>
      <c r="E1506" s="16"/>
      <c r="G1506" s="17"/>
      <c r="J1506" s="10"/>
    </row>
    <row r="1507">
      <c r="B1507" s="11"/>
      <c r="C1507" s="12"/>
      <c r="D1507" s="12"/>
      <c r="E1507" s="13"/>
      <c r="G1507" s="17"/>
      <c r="J1507" s="10"/>
    </row>
    <row r="1508">
      <c r="B1508" s="14"/>
      <c r="C1508" s="15"/>
      <c r="D1508" s="15"/>
      <c r="E1508" s="16"/>
      <c r="G1508" s="17"/>
      <c r="J1508" s="10"/>
    </row>
    <row r="1509">
      <c r="B1509" s="11"/>
      <c r="C1509" s="12"/>
      <c r="D1509" s="12"/>
      <c r="E1509" s="13"/>
      <c r="G1509" s="17"/>
      <c r="J1509" s="10"/>
    </row>
    <row r="1510">
      <c r="B1510" s="14"/>
      <c r="C1510" s="15"/>
      <c r="D1510" s="15"/>
      <c r="E1510" s="16"/>
      <c r="G1510" s="17"/>
      <c r="J1510" s="10"/>
    </row>
    <row r="1511">
      <c r="B1511" s="11"/>
      <c r="C1511" s="12"/>
      <c r="D1511" s="12"/>
      <c r="E1511" s="13"/>
      <c r="G1511" s="17"/>
      <c r="J1511" s="10"/>
    </row>
    <row r="1512">
      <c r="B1512" s="14"/>
      <c r="C1512" s="15"/>
      <c r="D1512" s="15"/>
      <c r="E1512" s="16"/>
      <c r="G1512" s="17"/>
      <c r="J1512" s="10"/>
    </row>
    <row r="1513">
      <c r="B1513" s="11"/>
      <c r="C1513" s="12"/>
      <c r="D1513" s="12"/>
      <c r="E1513" s="13"/>
      <c r="G1513" s="17"/>
      <c r="J1513" s="10"/>
    </row>
    <row r="1514">
      <c r="B1514" s="14"/>
      <c r="C1514" s="15"/>
      <c r="D1514" s="15"/>
      <c r="E1514" s="16"/>
      <c r="G1514" s="17"/>
      <c r="J1514" s="10"/>
    </row>
    <row r="1515">
      <c r="B1515" s="11"/>
      <c r="C1515" s="12"/>
      <c r="D1515" s="12"/>
      <c r="E1515" s="13"/>
      <c r="G1515" s="17"/>
      <c r="J1515" s="10"/>
    </row>
    <row r="1516">
      <c r="B1516" s="14"/>
      <c r="C1516" s="15"/>
      <c r="D1516" s="15"/>
      <c r="E1516" s="16"/>
      <c r="G1516" s="17"/>
      <c r="J1516" s="10"/>
    </row>
    <row r="1517">
      <c r="B1517" s="11"/>
      <c r="C1517" s="12"/>
      <c r="D1517" s="12"/>
      <c r="E1517" s="13"/>
      <c r="G1517" s="17"/>
      <c r="J1517" s="10"/>
    </row>
    <row r="1518">
      <c r="B1518" s="14"/>
      <c r="C1518" s="15"/>
      <c r="D1518" s="15"/>
      <c r="E1518" s="16"/>
      <c r="G1518" s="17"/>
      <c r="J1518" s="10"/>
    </row>
    <row r="1519">
      <c r="B1519" s="11"/>
      <c r="C1519" s="12"/>
      <c r="D1519" s="12"/>
      <c r="E1519" s="13"/>
      <c r="G1519" s="17"/>
      <c r="J1519" s="10"/>
    </row>
    <row r="1520">
      <c r="B1520" s="14"/>
      <c r="C1520" s="15"/>
      <c r="D1520" s="15"/>
      <c r="E1520" s="16"/>
      <c r="G1520" s="17"/>
      <c r="J1520" s="10"/>
    </row>
    <row r="1521">
      <c r="B1521" s="11"/>
      <c r="C1521" s="12"/>
      <c r="D1521" s="12"/>
      <c r="E1521" s="13"/>
      <c r="G1521" s="17"/>
      <c r="J1521" s="10"/>
    </row>
    <row r="1522">
      <c r="B1522" s="14"/>
      <c r="C1522" s="15"/>
      <c r="D1522" s="15"/>
      <c r="E1522" s="16"/>
      <c r="G1522" s="17"/>
      <c r="J1522" s="10"/>
    </row>
    <row r="1523">
      <c r="B1523" s="11"/>
      <c r="C1523" s="12"/>
      <c r="D1523" s="12"/>
      <c r="E1523" s="13"/>
      <c r="G1523" s="17"/>
      <c r="J1523" s="10"/>
    </row>
    <row r="1524">
      <c r="B1524" s="14"/>
      <c r="C1524" s="15"/>
      <c r="D1524" s="15"/>
      <c r="E1524" s="16"/>
      <c r="G1524" s="17"/>
      <c r="J1524" s="10"/>
    </row>
    <row r="1525">
      <c r="B1525" s="11"/>
      <c r="C1525" s="12"/>
      <c r="D1525" s="12"/>
      <c r="E1525" s="13"/>
      <c r="G1525" s="17"/>
      <c r="J1525" s="10"/>
    </row>
    <row r="1526">
      <c r="B1526" s="14"/>
      <c r="C1526" s="15"/>
      <c r="D1526" s="15"/>
      <c r="E1526" s="16"/>
      <c r="G1526" s="17"/>
      <c r="J1526" s="10"/>
    </row>
    <row r="1527">
      <c r="B1527" s="11"/>
      <c r="C1527" s="12"/>
      <c r="D1527" s="12"/>
      <c r="E1527" s="13"/>
      <c r="G1527" s="17"/>
      <c r="J1527" s="10"/>
    </row>
    <row r="1528">
      <c r="B1528" s="14"/>
      <c r="C1528" s="15"/>
      <c r="D1528" s="15"/>
      <c r="E1528" s="16"/>
      <c r="G1528" s="17"/>
      <c r="J1528" s="10"/>
    </row>
    <row r="1529">
      <c r="B1529" s="11"/>
      <c r="C1529" s="12"/>
      <c r="D1529" s="12"/>
      <c r="E1529" s="13"/>
      <c r="G1529" s="17"/>
      <c r="J1529" s="10"/>
    </row>
    <row r="1530">
      <c r="B1530" s="14"/>
      <c r="C1530" s="15"/>
      <c r="D1530" s="15"/>
      <c r="E1530" s="16"/>
      <c r="G1530" s="17"/>
      <c r="J1530" s="10"/>
    </row>
    <row r="1531">
      <c r="B1531" s="11"/>
      <c r="C1531" s="12"/>
      <c r="D1531" s="12"/>
      <c r="E1531" s="13"/>
      <c r="G1531" s="17"/>
      <c r="J1531" s="10"/>
    </row>
    <row r="1532">
      <c r="B1532" s="14"/>
      <c r="C1532" s="15"/>
      <c r="D1532" s="15"/>
      <c r="E1532" s="16"/>
      <c r="G1532" s="17"/>
      <c r="J1532" s="10"/>
    </row>
    <row r="1533">
      <c r="B1533" s="11"/>
      <c r="C1533" s="12"/>
      <c r="D1533" s="12"/>
      <c r="E1533" s="13"/>
      <c r="G1533" s="17"/>
      <c r="J1533" s="10"/>
    </row>
    <row r="1534">
      <c r="B1534" s="14"/>
      <c r="C1534" s="15"/>
      <c r="D1534" s="15"/>
      <c r="E1534" s="16"/>
      <c r="G1534" s="17"/>
      <c r="J1534" s="10"/>
    </row>
    <row r="1535">
      <c r="B1535" s="11"/>
      <c r="C1535" s="12"/>
      <c r="D1535" s="12"/>
      <c r="E1535" s="13"/>
      <c r="G1535" s="17"/>
      <c r="J1535" s="10"/>
    </row>
    <row r="1536">
      <c r="B1536" s="14"/>
      <c r="C1536" s="15"/>
      <c r="D1536" s="15"/>
      <c r="E1536" s="16"/>
      <c r="G1536" s="17"/>
      <c r="J1536" s="10"/>
    </row>
    <row r="1537">
      <c r="B1537" s="11"/>
      <c r="C1537" s="12"/>
      <c r="D1537" s="12"/>
      <c r="E1537" s="13"/>
      <c r="G1537" s="17"/>
      <c r="J1537" s="10"/>
    </row>
    <row r="1538">
      <c r="B1538" s="14"/>
      <c r="C1538" s="15"/>
      <c r="D1538" s="15"/>
      <c r="E1538" s="16"/>
      <c r="G1538" s="17"/>
      <c r="J1538" s="10"/>
    </row>
    <row r="1539">
      <c r="B1539" s="11"/>
      <c r="C1539" s="12"/>
      <c r="D1539" s="12"/>
      <c r="E1539" s="13"/>
      <c r="G1539" s="17"/>
      <c r="J1539" s="10"/>
    </row>
    <row r="1540">
      <c r="B1540" s="14"/>
      <c r="C1540" s="15"/>
      <c r="D1540" s="15"/>
      <c r="E1540" s="16"/>
      <c r="G1540" s="17"/>
      <c r="J1540" s="10"/>
    </row>
    <row r="1541">
      <c r="B1541" s="11"/>
      <c r="C1541" s="12"/>
      <c r="D1541" s="12"/>
      <c r="E1541" s="13"/>
      <c r="G1541" s="17"/>
      <c r="J1541" s="10"/>
    </row>
    <row r="1542">
      <c r="B1542" s="14"/>
      <c r="C1542" s="15"/>
      <c r="D1542" s="15"/>
      <c r="E1542" s="16"/>
      <c r="G1542" s="17"/>
      <c r="J1542" s="10"/>
    </row>
    <row r="1543">
      <c r="B1543" s="11"/>
      <c r="C1543" s="12"/>
      <c r="D1543" s="12"/>
      <c r="E1543" s="13"/>
      <c r="G1543" s="17"/>
      <c r="J1543" s="10"/>
    </row>
    <row r="1544">
      <c r="B1544" s="14"/>
      <c r="C1544" s="15"/>
      <c r="D1544" s="15"/>
      <c r="E1544" s="16"/>
      <c r="G1544" s="17"/>
      <c r="J1544" s="10"/>
    </row>
    <row r="1545">
      <c r="B1545" s="11"/>
      <c r="C1545" s="12"/>
      <c r="D1545" s="12"/>
      <c r="E1545" s="13"/>
      <c r="G1545" s="17"/>
      <c r="J1545" s="10"/>
    </row>
    <row r="1546">
      <c r="B1546" s="14"/>
      <c r="C1546" s="15"/>
      <c r="D1546" s="15"/>
      <c r="E1546" s="16"/>
      <c r="G1546" s="17"/>
      <c r="J1546" s="10"/>
    </row>
    <row r="1547">
      <c r="B1547" s="11"/>
      <c r="C1547" s="12"/>
      <c r="D1547" s="12"/>
      <c r="E1547" s="13"/>
      <c r="G1547" s="17"/>
      <c r="J1547" s="10"/>
    </row>
    <row r="1548">
      <c r="B1548" s="14"/>
      <c r="C1548" s="15"/>
      <c r="D1548" s="15"/>
      <c r="E1548" s="16"/>
      <c r="G1548" s="17"/>
      <c r="J1548" s="10"/>
    </row>
    <row r="1549">
      <c r="B1549" s="11"/>
      <c r="C1549" s="12"/>
      <c r="D1549" s="12"/>
      <c r="E1549" s="13"/>
      <c r="G1549" s="17"/>
      <c r="J1549" s="10"/>
    </row>
    <row r="1550">
      <c r="B1550" s="14"/>
      <c r="C1550" s="15"/>
      <c r="D1550" s="15"/>
      <c r="E1550" s="16"/>
      <c r="G1550" s="17"/>
      <c r="J1550" s="10"/>
    </row>
    <row r="1551">
      <c r="B1551" s="11"/>
      <c r="C1551" s="12"/>
      <c r="D1551" s="12"/>
      <c r="E1551" s="13"/>
      <c r="G1551" s="17"/>
      <c r="J1551" s="10"/>
    </row>
    <row r="1552">
      <c r="B1552" s="14"/>
      <c r="C1552" s="15"/>
      <c r="D1552" s="15"/>
      <c r="E1552" s="16"/>
      <c r="G1552" s="17"/>
      <c r="J1552" s="10"/>
    </row>
    <row r="1553">
      <c r="B1553" s="11"/>
      <c r="C1553" s="12"/>
      <c r="D1553" s="12"/>
      <c r="E1553" s="13"/>
      <c r="G1553" s="17"/>
      <c r="J1553" s="10"/>
    </row>
    <row r="1554">
      <c r="B1554" s="14"/>
      <c r="C1554" s="15"/>
      <c r="D1554" s="15"/>
      <c r="E1554" s="16"/>
      <c r="G1554" s="17"/>
      <c r="J1554" s="10"/>
    </row>
    <row r="1555">
      <c r="B1555" s="11"/>
      <c r="C1555" s="12"/>
      <c r="D1555" s="12"/>
      <c r="E1555" s="13"/>
      <c r="G1555" s="17"/>
      <c r="J1555" s="10"/>
    </row>
    <row r="1556">
      <c r="B1556" s="14"/>
      <c r="C1556" s="15"/>
      <c r="D1556" s="15"/>
      <c r="E1556" s="16"/>
      <c r="G1556" s="17"/>
      <c r="J1556" s="10"/>
    </row>
    <row r="1557">
      <c r="B1557" s="11"/>
      <c r="C1557" s="12"/>
      <c r="D1557" s="12"/>
      <c r="E1557" s="13"/>
      <c r="G1557" s="17"/>
      <c r="J1557" s="10"/>
    </row>
    <row r="1558">
      <c r="B1558" s="14"/>
      <c r="C1558" s="15"/>
      <c r="D1558" s="15"/>
      <c r="E1558" s="16"/>
      <c r="G1558" s="17"/>
      <c r="J1558" s="10"/>
    </row>
    <row r="1559">
      <c r="B1559" s="11"/>
      <c r="C1559" s="12"/>
      <c r="D1559" s="12"/>
      <c r="E1559" s="13"/>
      <c r="G1559" s="17"/>
      <c r="J1559" s="10"/>
    </row>
    <row r="1560">
      <c r="B1560" s="14"/>
      <c r="C1560" s="15"/>
      <c r="D1560" s="15"/>
      <c r="E1560" s="16"/>
      <c r="G1560" s="17"/>
      <c r="J1560" s="10"/>
    </row>
    <row r="1561">
      <c r="B1561" s="11"/>
      <c r="C1561" s="12"/>
      <c r="D1561" s="12"/>
      <c r="E1561" s="13"/>
      <c r="G1561" s="17"/>
      <c r="J1561" s="10"/>
    </row>
    <row r="1562">
      <c r="B1562" s="14"/>
      <c r="C1562" s="15"/>
      <c r="D1562" s="15"/>
      <c r="E1562" s="16"/>
      <c r="G1562" s="17"/>
      <c r="J1562" s="10"/>
    </row>
    <row r="1563">
      <c r="B1563" s="11"/>
      <c r="C1563" s="12"/>
      <c r="D1563" s="12"/>
      <c r="E1563" s="13"/>
      <c r="G1563" s="17"/>
      <c r="J1563" s="10"/>
    </row>
    <row r="1564">
      <c r="B1564" s="14"/>
      <c r="C1564" s="15"/>
      <c r="D1564" s="15"/>
      <c r="E1564" s="16"/>
      <c r="G1564" s="17"/>
      <c r="J1564" s="10"/>
    </row>
    <row r="1565">
      <c r="B1565" s="11"/>
      <c r="C1565" s="12"/>
      <c r="D1565" s="12"/>
      <c r="E1565" s="13"/>
      <c r="G1565" s="17"/>
      <c r="J1565" s="10"/>
    </row>
    <row r="1566">
      <c r="B1566" s="14"/>
      <c r="C1566" s="15"/>
      <c r="D1566" s="15"/>
      <c r="E1566" s="16"/>
      <c r="G1566" s="17"/>
      <c r="J1566" s="10"/>
    </row>
    <row r="1567">
      <c r="B1567" s="11"/>
      <c r="C1567" s="12"/>
      <c r="D1567" s="12"/>
      <c r="E1567" s="13"/>
      <c r="G1567" s="17"/>
      <c r="J1567" s="10"/>
    </row>
    <row r="1568">
      <c r="B1568" s="14"/>
      <c r="C1568" s="15"/>
      <c r="D1568" s="15"/>
      <c r="E1568" s="16"/>
      <c r="G1568" s="17"/>
      <c r="J1568" s="10"/>
    </row>
    <row r="1569">
      <c r="B1569" s="11"/>
      <c r="C1569" s="12"/>
      <c r="D1569" s="12"/>
      <c r="E1569" s="13"/>
      <c r="G1569" s="17"/>
      <c r="J1569" s="10"/>
    </row>
    <row r="1570">
      <c r="B1570" s="14"/>
      <c r="C1570" s="15"/>
      <c r="D1570" s="15"/>
      <c r="E1570" s="16"/>
      <c r="G1570" s="17"/>
      <c r="J1570" s="10"/>
    </row>
    <row r="1571">
      <c r="B1571" s="11"/>
      <c r="C1571" s="12"/>
      <c r="D1571" s="12"/>
      <c r="E1571" s="13"/>
      <c r="G1571" s="17"/>
      <c r="J1571" s="10"/>
    </row>
    <row r="1572">
      <c r="B1572" s="14"/>
      <c r="C1572" s="15"/>
      <c r="D1572" s="15"/>
      <c r="E1572" s="16"/>
      <c r="G1572" s="17"/>
      <c r="J1572" s="10"/>
    </row>
    <row r="1573">
      <c r="B1573" s="11"/>
      <c r="C1573" s="12"/>
      <c r="D1573" s="12"/>
      <c r="E1573" s="13"/>
      <c r="G1573" s="17"/>
      <c r="J1573" s="10"/>
    </row>
    <row r="1574">
      <c r="B1574" s="14"/>
      <c r="C1574" s="15"/>
      <c r="D1574" s="15"/>
      <c r="E1574" s="16"/>
      <c r="G1574" s="17"/>
      <c r="J1574" s="10"/>
    </row>
    <row r="1575">
      <c r="B1575" s="11"/>
      <c r="C1575" s="12"/>
      <c r="D1575" s="12"/>
      <c r="E1575" s="13"/>
      <c r="G1575" s="17"/>
      <c r="J1575" s="10"/>
    </row>
    <row r="1576">
      <c r="B1576" s="14"/>
      <c r="C1576" s="15"/>
      <c r="D1576" s="15"/>
      <c r="E1576" s="16"/>
      <c r="G1576" s="17"/>
      <c r="J1576" s="10"/>
    </row>
    <row r="1577">
      <c r="B1577" s="11"/>
      <c r="C1577" s="12"/>
      <c r="D1577" s="12"/>
      <c r="E1577" s="13"/>
      <c r="G1577" s="17"/>
      <c r="J1577" s="10"/>
    </row>
    <row r="1578">
      <c r="B1578" s="14"/>
      <c r="C1578" s="15"/>
      <c r="D1578" s="15"/>
      <c r="E1578" s="16"/>
      <c r="G1578" s="17"/>
      <c r="J1578" s="10"/>
    </row>
    <row r="1579">
      <c r="B1579" s="11"/>
      <c r="C1579" s="12"/>
      <c r="D1579" s="12"/>
      <c r="E1579" s="13"/>
      <c r="G1579" s="17"/>
      <c r="J1579" s="10"/>
    </row>
    <row r="1580">
      <c r="B1580" s="14"/>
      <c r="C1580" s="15"/>
      <c r="D1580" s="15"/>
      <c r="E1580" s="16"/>
      <c r="G1580" s="17"/>
      <c r="J1580" s="10"/>
    </row>
    <row r="1581">
      <c r="B1581" s="11"/>
      <c r="C1581" s="12"/>
      <c r="D1581" s="12"/>
      <c r="E1581" s="13"/>
      <c r="G1581" s="17"/>
      <c r="J1581" s="10"/>
    </row>
    <row r="1582">
      <c r="B1582" s="14"/>
      <c r="C1582" s="15"/>
      <c r="D1582" s="15"/>
      <c r="E1582" s="16"/>
      <c r="G1582" s="17"/>
      <c r="J1582" s="10"/>
    </row>
    <row r="1583">
      <c r="B1583" s="11"/>
      <c r="C1583" s="12"/>
      <c r="D1583" s="12"/>
      <c r="E1583" s="13"/>
      <c r="G1583" s="17"/>
      <c r="J1583" s="10"/>
    </row>
    <row r="1584">
      <c r="B1584" s="14"/>
      <c r="C1584" s="15"/>
      <c r="D1584" s="15"/>
      <c r="E1584" s="16"/>
      <c r="G1584" s="17"/>
      <c r="J1584" s="10"/>
    </row>
    <row r="1585">
      <c r="B1585" s="11"/>
      <c r="C1585" s="12"/>
      <c r="D1585" s="12"/>
      <c r="E1585" s="13"/>
      <c r="G1585" s="17"/>
      <c r="J1585" s="10"/>
    </row>
    <row r="1586">
      <c r="B1586" s="14"/>
      <c r="C1586" s="15"/>
      <c r="D1586" s="15"/>
      <c r="E1586" s="16"/>
      <c r="G1586" s="17"/>
      <c r="J1586" s="10"/>
    </row>
    <row r="1587">
      <c r="B1587" s="11"/>
      <c r="C1587" s="12"/>
      <c r="D1587" s="12"/>
      <c r="E1587" s="13"/>
      <c r="G1587" s="17"/>
      <c r="J1587" s="10"/>
    </row>
    <row r="1588">
      <c r="B1588" s="14"/>
      <c r="C1588" s="15"/>
      <c r="D1588" s="15"/>
      <c r="E1588" s="16"/>
      <c r="G1588" s="17"/>
      <c r="J1588" s="10"/>
    </row>
    <row r="1589">
      <c r="B1589" s="11"/>
      <c r="C1589" s="12"/>
      <c r="D1589" s="12"/>
      <c r="E1589" s="13"/>
      <c r="G1589" s="17"/>
      <c r="J1589" s="10"/>
    </row>
    <row r="1590">
      <c r="B1590" s="14"/>
      <c r="C1590" s="15"/>
      <c r="D1590" s="15"/>
      <c r="E1590" s="16"/>
      <c r="G1590" s="17"/>
      <c r="J1590" s="10"/>
    </row>
    <row r="1591">
      <c r="B1591" s="11"/>
      <c r="C1591" s="12"/>
      <c r="D1591" s="12"/>
      <c r="E1591" s="13"/>
      <c r="G1591" s="17"/>
      <c r="J1591" s="10"/>
    </row>
    <row r="1592">
      <c r="B1592" s="14"/>
      <c r="C1592" s="15"/>
      <c r="D1592" s="15"/>
      <c r="E1592" s="16"/>
      <c r="G1592" s="17"/>
      <c r="J1592" s="10"/>
    </row>
    <row r="1593">
      <c r="B1593" s="11"/>
      <c r="C1593" s="12"/>
      <c r="D1593" s="12"/>
      <c r="E1593" s="13"/>
      <c r="G1593" s="17"/>
      <c r="J1593" s="10"/>
    </row>
    <row r="1594">
      <c r="B1594" s="14"/>
      <c r="C1594" s="15"/>
      <c r="D1594" s="15"/>
      <c r="E1594" s="16"/>
      <c r="G1594" s="17"/>
      <c r="J1594" s="10"/>
    </row>
    <row r="1595">
      <c r="B1595" s="11"/>
      <c r="C1595" s="12"/>
      <c r="D1595" s="12"/>
      <c r="E1595" s="13"/>
      <c r="G1595" s="17"/>
      <c r="J1595" s="10"/>
    </row>
    <row r="1596">
      <c r="B1596" s="14"/>
      <c r="C1596" s="15"/>
      <c r="D1596" s="15"/>
      <c r="E1596" s="16"/>
      <c r="G1596" s="17"/>
      <c r="J1596" s="10"/>
    </row>
    <row r="1597">
      <c r="B1597" s="11"/>
      <c r="C1597" s="12"/>
      <c r="D1597" s="12"/>
      <c r="E1597" s="13"/>
      <c r="G1597" s="17"/>
      <c r="J1597" s="10"/>
    </row>
    <row r="1598">
      <c r="B1598" s="14"/>
      <c r="C1598" s="15"/>
      <c r="D1598" s="15"/>
      <c r="E1598" s="16"/>
      <c r="G1598" s="17"/>
      <c r="J1598" s="10"/>
    </row>
    <row r="1599">
      <c r="B1599" s="11"/>
      <c r="C1599" s="12"/>
      <c r="D1599" s="12"/>
      <c r="E1599" s="13"/>
      <c r="G1599" s="17"/>
      <c r="J1599" s="10"/>
    </row>
    <row r="1600">
      <c r="B1600" s="14"/>
      <c r="C1600" s="15"/>
      <c r="D1600" s="15"/>
      <c r="E1600" s="16"/>
      <c r="G1600" s="17"/>
      <c r="J1600" s="10"/>
    </row>
    <row r="1601">
      <c r="B1601" s="11"/>
      <c r="C1601" s="12"/>
      <c r="D1601" s="12"/>
      <c r="E1601" s="13"/>
      <c r="G1601" s="17"/>
      <c r="J1601" s="10"/>
    </row>
    <row r="1602">
      <c r="B1602" s="14"/>
      <c r="C1602" s="15"/>
      <c r="D1602" s="15"/>
      <c r="E1602" s="16"/>
      <c r="G1602" s="17"/>
      <c r="J1602" s="10"/>
    </row>
    <row r="1603">
      <c r="B1603" s="11"/>
      <c r="C1603" s="12"/>
      <c r="D1603" s="12"/>
      <c r="E1603" s="13"/>
      <c r="G1603" s="17"/>
      <c r="J1603" s="10"/>
    </row>
    <row r="1604">
      <c r="B1604" s="14"/>
      <c r="C1604" s="15"/>
      <c r="D1604" s="15"/>
      <c r="E1604" s="16"/>
      <c r="G1604" s="17"/>
      <c r="J1604" s="10"/>
    </row>
    <row r="1605">
      <c r="B1605" s="11"/>
      <c r="C1605" s="12"/>
      <c r="D1605" s="12"/>
      <c r="E1605" s="13"/>
      <c r="G1605" s="17"/>
      <c r="J1605" s="10"/>
    </row>
    <row r="1606">
      <c r="B1606" s="14"/>
      <c r="C1606" s="15"/>
      <c r="D1606" s="15"/>
      <c r="E1606" s="16"/>
      <c r="G1606" s="17"/>
      <c r="J1606" s="10"/>
    </row>
    <row r="1607">
      <c r="B1607" s="11"/>
      <c r="C1607" s="12"/>
      <c r="D1607" s="12"/>
      <c r="E1607" s="13"/>
      <c r="G1607" s="17"/>
      <c r="J1607" s="10"/>
    </row>
    <row r="1608">
      <c r="B1608" s="14"/>
      <c r="C1608" s="15"/>
      <c r="D1608" s="15"/>
      <c r="E1608" s="16"/>
      <c r="G1608" s="17"/>
      <c r="J1608" s="10"/>
    </row>
    <row r="1609">
      <c r="B1609" s="11"/>
      <c r="C1609" s="12"/>
      <c r="D1609" s="12"/>
      <c r="E1609" s="13"/>
      <c r="G1609" s="17"/>
      <c r="J1609" s="10"/>
    </row>
    <row r="1610">
      <c r="B1610" s="14"/>
      <c r="C1610" s="15"/>
      <c r="D1610" s="15"/>
      <c r="E1610" s="16"/>
      <c r="G1610" s="17"/>
      <c r="J1610" s="10"/>
    </row>
    <row r="1611">
      <c r="B1611" s="11"/>
      <c r="C1611" s="12"/>
      <c r="D1611" s="12"/>
      <c r="E1611" s="13"/>
      <c r="G1611" s="17"/>
      <c r="J1611" s="10"/>
    </row>
    <row r="1612">
      <c r="B1612" s="14"/>
      <c r="C1612" s="15"/>
      <c r="D1612" s="15"/>
      <c r="E1612" s="16"/>
      <c r="G1612" s="17"/>
      <c r="J1612" s="10"/>
    </row>
    <row r="1613">
      <c r="B1613" s="11"/>
      <c r="C1613" s="12"/>
      <c r="D1613" s="12"/>
      <c r="E1613" s="13"/>
      <c r="G1613" s="17"/>
      <c r="J1613" s="10"/>
    </row>
    <row r="1614">
      <c r="B1614" s="14"/>
      <c r="C1614" s="15"/>
      <c r="D1614" s="15"/>
      <c r="E1614" s="16"/>
      <c r="G1614" s="17"/>
      <c r="J1614" s="10"/>
    </row>
    <row r="1615">
      <c r="B1615" s="11"/>
      <c r="C1615" s="12"/>
      <c r="D1615" s="12"/>
      <c r="E1615" s="13"/>
      <c r="G1615" s="17"/>
      <c r="J1615" s="10"/>
    </row>
    <row r="1616">
      <c r="B1616" s="14"/>
      <c r="C1616" s="15"/>
      <c r="D1616" s="15"/>
      <c r="E1616" s="16"/>
      <c r="G1616" s="17"/>
      <c r="J1616" s="10"/>
    </row>
    <row r="1617">
      <c r="B1617" s="11"/>
      <c r="C1617" s="12"/>
      <c r="D1617" s="12"/>
      <c r="E1617" s="13"/>
      <c r="G1617" s="17"/>
      <c r="J1617" s="10"/>
    </row>
    <row r="1618">
      <c r="B1618" s="14"/>
      <c r="C1618" s="15"/>
      <c r="D1618" s="15"/>
      <c r="E1618" s="16"/>
      <c r="G1618" s="17"/>
      <c r="J1618" s="10"/>
    </row>
    <row r="1619">
      <c r="B1619" s="11"/>
      <c r="C1619" s="12"/>
      <c r="D1619" s="12"/>
      <c r="E1619" s="13"/>
      <c r="G1619" s="17"/>
      <c r="J1619" s="10"/>
    </row>
    <row r="1620">
      <c r="B1620" s="14"/>
      <c r="C1620" s="15"/>
      <c r="D1620" s="15"/>
      <c r="E1620" s="16"/>
      <c r="G1620" s="17"/>
      <c r="J1620" s="10"/>
    </row>
    <row r="1621">
      <c r="B1621" s="11"/>
      <c r="C1621" s="12"/>
      <c r="D1621" s="12"/>
      <c r="E1621" s="13"/>
      <c r="G1621" s="17"/>
      <c r="J1621" s="10"/>
    </row>
    <row r="1622">
      <c r="B1622" s="14"/>
      <c r="C1622" s="15"/>
      <c r="D1622" s="15"/>
      <c r="E1622" s="16"/>
      <c r="G1622" s="17"/>
      <c r="J1622" s="10"/>
    </row>
    <row r="1623">
      <c r="B1623" s="11"/>
      <c r="C1623" s="12"/>
      <c r="D1623" s="12"/>
      <c r="E1623" s="13"/>
      <c r="G1623" s="17"/>
      <c r="J1623" s="10"/>
    </row>
    <row r="1624">
      <c r="B1624" s="14"/>
      <c r="C1624" s="15"/>
      <c r="D1624" s="15"/>
      <c r="E1624" s="16"/>
      <c r="G1624" s="17"/>
      <c r="J1624" s="10"/>
    </row>
    <row r="1625">
      <c r="B1625" s="11"/>
      <c r="C1625" s="12"/>
      <c r="D1625" s="12"/>
      <c r="E1625" s="13"/>
      <c r="G1625" s="17"/>
      <c r="J1625" s="10"/>
    </row>
    <row r="1626">
      <c r="B1626" s="14"/>
      <c r="C1626" s="15"/>
      <c r="D1626" s="15"/>
      <c r="E1626" s="16"/>
      <c r="G1626" s="17"/>
      <c r="J1626" s="10"/>
    </row>
    <row r="1627">
      <c r="B1627" s="11"/>
      <c r="C1627" s="12"/>
      <c r="D1627" s="12"/>
      <c r="E1627" s="13"/>
      <c r="G1627" s="17"/>
      <c r="J1627" s="10"/>
    </row>
    <row r="1628">
      <c r="B1628" s="14"/>
      <c r="C1628" s="15"/>
      <c r="D1628" s="15"/>
      <c r="E1628" s="16"/>
      <c r="G1628" s="17"/>
      <c r="J1628" s="10"/>
    </row>
    <row r="1629">
      <c r="B1629" s="11"/>
      <c r="C1629" s="12"/>
      <c r="D1629" s="12"/>
      <c r="E1629" s="13"/>
      <c r="G1629" s="17"/>
      <c r="J1629" s="10"/>
    </row>
    <row r="1630">
      <c r="B1630" s="14"/>
      <c r="C1630" s="15"/>
      <c r="D1630" s="15"/>
      <c r="E1630" s="16"/>
      <c r="G1630" s="17"/>
      <c r="J1630" s="10"/>
    </row>
    <row r="1631">
      <c r="B1631" s="11"/>
      <c r="C1631" s="12"/>
      <c r="D1631" s="12"/>
      <c r="E1631" s="13"/>
      <c r="G1631" s="17"/>
      <c r="J1631" s="10"/>
    </row>
    <row r="1632">
      <c r="B1632" s="14"/>
      <c r="C1632" s="15"/>
      <c r="D1632" s="15"/>
      <c r="E1632" s="16"/>
      <c r="G1632" s="17"/>
      <c r="J1632" s="10"/>
    </row>
    <row r="1633">
      <c r="B1633" s="11"/>
      <c r="C1633" s="12"/>
      <c r="D1633" s="12"/>
      <c r="E1633" s="13"/>
      <c r="G1633" s="17"/>
      <c r="J1633" s="10"/>
    </row>
    <row r="1634">
      <c r="B1634" s="14"/>
      <c r="C1634" s="15"/>
      <c r="D1634" s="15"/>
      <c r="E1634" s="16"/>
      <c r="G1634" s="17"/>
      <c r="J1634" s="10"/>
    </row>
    <row r="1635">
      <c r="B1635" s="11"/>
      <c r="C1635" s="12"/>
      <c r="D1635" s="12"/>
      <c r="E1635" s="13"/>
      <c r="G1635" s="17"/>
      <c r="J1635" s="10"/>
    </row>
    <row r="1636">
      <c r="B1636" s="14"/>
      <c r="C1636" s="15"/>
      <c r="D1636" s="15"/>
      <c r="E1636" s="16"/>
      <c r="G1636" s="17"/>
      <c r="J1636" s="10"/>
    </row>
    <row r="1637">
      <c r="B1637" s="11"/>
      <c r="C1637" s="12"/>
      <c r="D1637" s="12"/>
      <c r="E1637" s="13"/>
      <c r="G1637" s="17"/>
      <c r="J1637" s="10"/>
    </row>
    <row r="1638">
      <c r="B1638" s="14"/>
      <c r="C1638" s="15"/>
      <c r="D1638" s="15"/>
      <c r="E1638" s="16"/>
      <c r="G1638" s="17"/>
      <c r="J1638" s="10"/>
    </row>
    <row r="1639">
      <c r="B1639" s="11"/>
      <c r="C1639" s="12"/>
      <c r="D1639" s="12"/>
      <c r="E1639" s="13"/>
      <c r="G1639" s="17"/>
      <c r="J1639" s="10"/>
    </row>
    <row r="1640">
      <c r="B1640" s="14"/>
      <c r="C1640" s="15"/>
      <c r="D1640" s="15"/>
      <c r="E1640" s="16"/>
      <c r="G1640" s="17"/>
      <c r="J1640" s="10"/>
    </row>
    <row r="1641">
      <c r="B1641" s="11"/>
      <c r="C1641" s="12"/>
      <c r="D1641" s="12"/>
      <c r="E1641" s="13"/>
      <c r="G1641" s="17"/>
      <c r="J1641" s="10"/>
    </row>
    <row r="1642">
      <c r="B1642" s="14"/>
      <c r="C1642" s="15"/>
      <c r="D1642" s="15"/>
      <c r="E1642" s="16"/>
      <c r="G1642" s="17"/>
      <c r="J1642" s="10"/>
    </row>
    <row r="1643">
      <c r="B1643" s="11"/>
      <c r="C1643" s="12"/>
      <c r="D1643" s="12"/>
      <c r="E1643" s="13"/>
      <c r="G1643" s="17"/>
      <c r="J1643" s="10"/>
    </row>
    <row r="1644">
      <c r="B1644" s="14"/>
      <c r="C1644" s="15"/>
      <c r="D1644" s="15"/>
      <c r="E1644" s="16"/>
      <c r="G1644" s="17"/>
      <c r="J1644" s="10"/>
    </row>
    <row r="1645">
      <c r="B1645" s="11"/>
      <c r="C1645" s="12"/>
      <c r="D1645" s="12"/>
      <c r="E1645" s="13"/>
      <c r="G1645" s="17"/>
      <c r="J1645" s="10"/>
    </row>
    <row r="1646">
      <c r="B1646" s="14"/>
      <c r="C1646" s="15"/>
      <c r="D1646" s="15"/>
      <c r="E1646" s="16"/>
      <c r="G1646" s="17"/>
      <c r="J1646" s="10"/>
    </row>
    <row r="1647">
      <c r="B1647" s="11"/>
      <c r="C1647" s="12"/>
      <c r="D1647" s="12"/>
      <c r="E1647" s="13"/>
      <c r="G1647" s="17"/>
      <c r="J1647" s="10"/>
    </row>
    <row r="1648">
      <c r="B1648" s="14"/>
      <c r="C1648" s="15"/>
      <c r="D1648" s="15"/>
      <c r="E1648" s="16"/>
      <c r="G1648" s="17"/>
      <c r="J1648" s="10"/>
    </row>
    <row r="1649">
      <c r="B1649" s="11"/>
      <c r="C1649" s="12"/>
      <c r="D1649" s="12"/>
      <c r="E1649" s="13"/>
      <c r="G1649" s="17"/>
      <c r="J1649" s="10"/>
    </row>
    <row r="1650">
      <c r="B1650" s="14"/>
      <c r="C1650" s="15"/>
      <c r="D1650" s="15"/>
      <c r="E1650" s="16"/>
      <c r="G1650" s="17"/>
      <c r="J1650" s="10"/>
    </row>
    <row r="1651">
      <c r="B1651" s="11"/>
      <c r="C1651" s="12"/>
      <c r="D1651" s="12"/>
      <c r="E1651" s="13"/>
      <c r="G1651" s="17"/>
      <c r="J1651" s="10"/>
    </row>
    <row r="1652">
      <c r="B1652" s="14"/>
      <c r="C1652" s="15"/>
      <c r="D1652" s="15"/>
      <c r="E1652" s="16"/>
      <c r="G1652" s="17"/>
      <c r="J1652" s="10"/>
    </row>
    <row r="1653">
      <c r="B1653" s="11"/>
      <c r="C1653" s="12"/>
      <c r="D1653" s="12"/>
      <c r="E1653" s="13"/>
      <c r="G1653" s="17"/>
      <c r="J1653" s="10"/>
    </row>
    <row r="1654">
      <c r="B1654" s="14"/>
      <c r="C1654" s="15"/>
      <c r="D1654" s="15"/>
      <c r="E1654" s="16"/>
      <c r="G1654" s="17"/>
      <c r="J1654" s="10"/>
    </row>
    <row r="1655">
      <c r="B1655" s="11"/>
      <c r="C1655" s="12"/>
      <c r="D1655" s="12"/>
      <c r="E1655" s="13"/>
      <c r="G1655" s="17"/>
      <c r="J1655" s="10"/>
    </row>
    <row r="1656">
      <c r="B1656" s="14"/>
      <c r="C1656" s="15"/>
      <c r="D1656" s="15"/>
      <c r="E1656" s="16"/>
      <c r="G1656" s="17"/>
      <c r="J1656" s="10"/>
    </row>
    <row r="1657">
      <c r="B1657" s="11"/>
      <c r="C1657" s="12"/>
      <c r="D1657" s="12"/>
      <c r="E1657" s="13"/>
      <c r="G1657" s="17"/>
      <c r="J1657" s="10"/>
    </row>
    <row r="1658">
      <c r="B1658" s="14"/>
      <c r="C1658" s="15"/>
      <c r="D1658" s="15"/>
      <c r="E1658" s="16"/>
      <c r="G1658" s="17"/>
      <c r="J1658" s="10"/>
    </row>
    <row r="1659">
      <c r="B1659" s="11"/>
      <c r="C1659" s="12"/>
      <c r="D1659" s="12"/>
      <c r="E1659" s="13"/>
      <c r="G1659" s="17"/>
      <c r="J1659" s="10"/>
    </row>
    <row r="1660">
      <c r="B1660" s="14"/>
      <c r="C1660" s="15"/>
      <c r="D1660" s="15"/>
      <c r="E1660" s="16"/>
      <c r="G1660" s="17"/>
      <c r="J1660" s="10"/>
    </row>
    <row r="1661">
      <c r="B1661" s="11"/>
      <c r="C1661" s="12"/>
      <c r="D1661" s="12"/>
      <c r="E1661" s="13"/>
      <c r="G1661" s="17"/>
      <c r="J1661" s="10"/>
    </row>
    <row r="1662">
      <c r="B1662" s="14"/>
      <c r="C1662" s="15"/>
      <c r="D1662" s="15"/>
      <c r="E1662" s="16"/>
      <c r="G1662" s="17"/>
      <c r="J1662" s="10"/>
    </row>
    <row r="1663">
      <c r="B1663" s="11"/>
      <c r="C1663" s="12"/>
      <c r="D1663" s="12"/>
      <c r="E1663" s="13"/>
      <c r="G1663" s="17"/>
      <c r="J1663" s="10"/>
    </row>
    <row r="1664">
      <c r="B1664" s="14"/>
      <c r="C1664" s="15"/>
      <c r="D1664" s="15"/>
      <c r="E1664" s="16"/>
      <c r="G1664" s="17"/>
      <c r="J1664" s="10"/>
    </row>
    <row r="1665">
      <c r="B1665" s="11"/>
      <c r="C1665" s="12"/>
      <c r="D1665" s="12"/>
      <c r="E1665" s="13"/>
      <c r="G1665" s="17"/>
      <c r="J1665" s="10"/>
    </row>
    <row r="1666">
      <c r="B1666" s="14"/>
      <c r="C1666" s="15"/>
      <c r="D1666" s="15"/>
      <c r="E1666" s="16"/>
      <c r="G1666" s="17"/>
      <c r="J1666" s="10"/>
    </row>
    <row r="1667">
      <c r="B1667" s="11"/>
      <c r="C1667" s="12"/>
      <c r="D1667" s="12"/>
      <c r="E1667" s="13"/>
      <c r="G1667" s="17"/>
      <c r="J1667" s="10"/>
    </row>
    <row r="1668">
      <c r="B1668" s="14"/>
      <c r="C1668" s="15"/>
      <c r="D1668" s="15"/>
      <c r="E1668" s="16"/>
      <c r="G1668" s="17"/>
      <c r="J1668" s="10"/>
    </row>
    <row r="1669">
      <c r="B1669" s="11"/>
      <c r="C1669" s="12"/>
      <c r="D1669" s="12"/>
      <c r="E1669" s="13"/>
      <c r="G1669" s="17"/>
      <c r="J1669" s="10"/>
    </row>
    <row r="1670">
      <c r="B1670" s="14"/>
      <c r="C1670" s="15"/>
      <c r="D1670" s="15"/>
      <c r="E1670" s="16"/>
      <c r="G1670" s="17"/>
      <c r="J1670" s="10"/>
    </row>
    <row r="1671">
      <c r="B1671" s="11"/>
      <c r="C1671" s="12"/>
      <c r="D1671" s="12"/>
      <c r="E1671" s="13"/>
      <c r="G1671" s="17"/>
      <c r="J1671" s="10"/>
    </row>
    <row r="1672">
      <c r="B1672" s="14"/>
      <c r="C1672" s="15"/>
      <c r="D1672" s="15"/>
      <c r="E1672" s="16"/>
      <c r="G1672" s="17"/>
      <c r="J1672" s="10"/>
    </row>
    <row r="1673">
      <c r="B1673" s="11"/>
      <c r="C1673" s="12"/>
      <c r="D1673" s="12"/>
      <c r="E1673" s="13"/>
      <c r="G1673" s="17"/>
      <c r="J1673" s="10"/>
    </row>
    <row r="1674">
      <c r="B1674" s="14"/>
      <c r="C1674" s="15"/>
      <c r="D1674" s="15"/>
      <c r="E1674" s="16"/>
      <c r="G1674" s="17"/>
      <c r="J1674" s="10"/>
    </row>
    <row r="1675">
      <c r="B1675" s="11"/>
      <c r="C1675" s="12"/>
      <c r="D1675" s="12"/>
      <c r="E1675" s="13"/>
      <c r="G1675" s="17"/>
      <c r="J1675" s="10"/>
    </row>
    <row r="1676">
      <c r="B1676" s="14"/>
      <c r="C1676" s="15"/>
      <c r="D1676" s="15"/>
      <c r="E1676" s="16"/>
      <c r="G1676" s="17"/>
      <c r="J1676" s="10"/>
    </row>
    <row r="1677">
      <c r="B1677" s="11"/>
      <c r="C1677" s="12"/>
      <c r="D1677" s="12"/>
      <c r="E1677" s="13"/>
      <c r="G1677" s="17"/>
      <c r="J1677" s="10"/>
    </row>
    <row r="1678">
      <c r="B1678" s="14"/>
      <c r="C1678" s="15"/>
      <c r="D1678" s="15"/>
      <c r="E1678" s="16"/>
      <c r="G1678" s="17"/>
      <c r="J1678" s="10"/>
    </row>
    <row r="1679">
      <c r="B1679" s="11"/>
      <c r="C1679" s="12"/>
      <c r="D1679" s="12"/>
      <c r="E1679" s="13"/>
      <c r="G1679" s="17"/>
      <c r="J1679" s="10"/>
    </row>
    <row r="1680">
      <c r="B1680" s="14"/>
      <c r="C1680" s="15"/>
      <c r="D1680" s="15"/>
      <c r="E1680" s="16"/>
      <c r="G1680" s="17"/>
      <c r="J1680" s="10"/>
    </row>
    <row r="1681">
      <c r="B1681" s="11"/>
      <c r="C1681" s="12"/>
      <c r="D1681" s="12"/>
      <c r="E1681" s="13"/>
      <c r="G1681" s="17"/>
      <c r="J1681" s="10"/>
    </row>
    <row r="1682">
      <c r="B1682" s="14"/>
      <c r="C1682" s="15"/>
      <c r="D1682" s="15"/>
      <c r="E1682" s="16"/>
      <c r="G1682" s="17"/>
      <c r="J1682" s="10"/>
    </row>
    <row r="1683">
      <c r="B1683" s="11"/>
      <c r="C1683" s="12"/>
      <c r="D1683" s="12"/>
      <c r="E1683" s="13"/>
      <c r="G1683" s="17"/>
      <c r="J1683" s="10"/>
    </row>
    <row r="1684">
      <c r="B1684" s="14"/>
      <c r="C1684" s="15"/>
      <c r="D1684" s="15"/>
      <c r="E1684" s="16"/>
      <c r="G1684" s="17"/>
      <c r="J1684" s="10"/>
    </row>
    <row r="1685">
      <c r="B1685" s="11"/>
      <c r="C1685" s="12"/>
      <c r="D1685" s="12"/>
      <c r="E1685" s="13"/>
      <c r="G1685" s="17"/>
      <c r="J1685" s="10"/>
    </row>
    <row r="1686">
      <c r="B1686" s="14"/>
      <c r="C1686" s="15"/>
      <c r="D1686" s="15"/>
      <c r="E1686" s="16"/>
      <c r="G1686" s="17"/>
      <c r="J1686" s="10"/>
    </row>
    <row r="1687">
      <c r="B1687" s="11"/>
      <c r="C1687" s="12"/>
      <c r="D1687" s="12"/>
      <c r="E1687" s="13"/>
      <c r="G1687" s="17"/>
      <c r="J1687" s="10"/>
    </row>
    <row r="1688">
      <c r="B1688" s="14"/>
      <c r="C1688" s="15"/>
      <c r="D1688" s="15"/>
      <c r="E1688" s="16"/>
      <c r="G1688" s="17"/>
      <c r="J1688" s="10"/>
    </row>
    <row r="1689">
      <c r="B1689" s="11"/>
      <c r="C1689" s="12"/>
      <c r="D1689" s="12"/>
      <c r="E1689" s="13"/>
      <c r="G1689" s="17"/>
      <c r="J1689" s="10"/>
    </row>
    <row r="1690">
      <c r="B1690" s="14"/>
      <c r="C1690" s="15"/>
      <c r="D1690" s="15"/>
      <c r="E1690" s="16"/>
      <c r="G1690" s="17"/>
      <c r="J1690" s="10"/>
    </row>
    <row r="1691">
      <c r="B1691" s="11"/>
      <c r="C1691" s="12"/>
      <c r="D1691" s="12"/>
      <c r="E1691" s="13"/>
      <c r="G1691" s="17"/>
      <c r="J1691" s="10"/>
    </row>
    <row r="1692">
      <c r="B1692" s="14"/>
      <c r="C1692" s="15"/>
      <c r="D1692" s="15"/>
      <c r="E1692" s="16"/>
      <c r="G1692" s="17"/>
      <c r="J1692" s="10"/>
    </row>
    <row r="1693">
      <c r="B1693" s="11"/>
      <c r="C1693" s="12"/>
      <c r="D1693" s="12"/>
      <c r="E1693" s="13"/>
      <c r="G1693" s="17"/>
      <c r="J1693" s="10"/>
    </row>
    <row r="1694">
      <c r="B1694" s="14"/>
      <c r="C1694" s="15"/>
      <c r="D1694" s="15"/>
      <c r="E1694" s="16"/>
      <c r="G1694" s="17"/>
      <c r="J1694" s="10"/>
    </row>
    <row r="1695">
      <c r="B1695" s="11"/>
      <c r="C1695" s="12"/>
      <c r="D1695" s="12"/>
      <c r="E1695" s="13"/>
      <c r="G1695" s="17"/>
      <c r="J1695" s="10"/>
    </row>
    <row r="1696">
      <c r="B1696" s="14"/>
      <c r="C1696" s="15"/>
      <c r="D1696" s="15"/>
      <c r="E1696" s="16"/>
      <c r="G1696" s="17"/>
      <c r="J1696" s="10"/>
    </row>
    <row r="1697">
      <c r="B1697" s="11"/>
      <c r="C1697" s="12"/>
      <c r="D1697" s="12"/>
      <c r="E1697" s="13"/>
      <c r="G1697" s="17"/>
      <c r="J1697" s="10"/>
    </row>
    <row r="1698">
      <c r="B1698" s="14"/>
      <c r="C1698" s="15"/>
      <c r="D1698" s="15"/>
      <c r="E1698" s="16"/>
      <c r="G1698" s="17"/>
      <c r="J1698" s="10"/>
    </row>
    <row r="1699">
      <c r="B1699" s="11"/>
      <c r="C1699" s="12"/>
      <c r="D1699" s="12"/>
      <c r="E1699" s="13"/>
      <c r="G1699" s="17"/>
      <c r="J1699" s="10"/>
    </row>
    <row r="1700">
      <c r="B1700" s="14"/>
      <c r="C1700" s="15"/>
      <c r="D1700" s="15"/>
      <c r="E1700" s="16"/>
      <c r="G1700" s="17"/>
      <c r="J1700" s="10"/>
    </row>
    <row r="1701">
      <c r="B1701" s="11"/>
      <c r="C1701" s="12"/>
      <c r="D1701" s="12"/>
      <c r="E1701" s="13"/>
      <c r="G1701" s="17"/>
      <c r="J1701" s="10"/>
    </row>
    <row r="1702">
      <c r="B1702" s="14"/>
      <c r="C1702" s="15"/>
      <c r="D1702" s="15"/>
      <c r="E1702" s="16"/>
      <c r="G1702" s="17"/>
      <c r="J1702" s="10"/>
    </row>
    <row r="1703">
      <c r="B1703" s="11"/>
      <c r="C1703" s="12"/>
      <c r="D1703" s="12"/>
      <c r="E1703" s="13"/>
      <c r="G1703" s="17"/>
      <c r="J1703" s="10"/>
    </row>
    <row r="1704">
      <c r="B1704" s="14"/>
      <c r="C1704" s="15"/>
      <c r="D1704" s="15"/>
      <c r="E1704" s="16"/>
      <c r="G1704" s="17"/>
      <c r="J1704" s="10"/>
    </row>
    <row r="1705">
      <c r="B1705" s="11"/>
      <c r="C1705" s="12"/>
      <c r="D1705" s="12"/>
      <c r="E1705" s="13"/>
      <c r="G1705" s="17"/>
      <c r="J1705" s="10"/>
    </row>
    <row r="1706">
      <c r="B1706" s="14"/>
      <c r="C1706" s="15"/>
      <c r="D1706" s="15"/>
      <c r="E1706" s="16"/>
      <c r="G1706" s="17"/>
      <c r="J1706" s="10"/>
    </row>
    <row r="1707">
      <c r="B1707" s="11"/>
      <c r="C1707" s="12"/>
      <c r="D1707" s="12"/>
      <c r="E1707" s="13"/>
      <c r="G1707" s="17"/>
      <c r="J1707" s="10"/>
    </row>
    <row r="1708">
      <c r="B1708" s="14"/>
      <c r="C1708" s="15"/>
      <c r="D1708" s="15"/>
      <c r="E1708" s="16"/>
      <c r="G1708" s="17"/>
      <c r="J1708" s="10"/>
    </row>
    <row r="1709">
      <c r="B1709" s="11"/>
      <c r="C1709" s="12"/>
      <c r="D1709" s="12"/>
      <c r="E1709" s="13"/>
      <c r="G1709" s="17"/>
      <c r="J1709" s="10"/>
    </row>
    <row r="1710">
      <c r="B1710" s="14"/>
      <c r="C1710" s="15"/>
      <c r="D1710" s="15"/>
      <c r="E1710" s="16"/>
      <c r="G1710" s="17"/>
      <c r="J1710" s="10"/>
    </row>
    <row r="1711">
      <c r="B1711" s="11"/>
      <c r="C1711" s="12"/>
      <c r="D1711" s="12"/>
      <c r="E1711" s="13"/>
      <c r="G1711" s="17"/>
      <c r="J1711" s="10"/>
    </row>
    <row r="1712">
      <c r="B1712" s="14"/>
      <c r="C1712" s="15"/>
      <c r="D1712" s="15"/>
      <c r="E1712" s="16"/>
      <c r="G1712" s="17"/>
      <c r="J1712" s="10"/>
    </row>
    <row r="1713">
      <c r="B1713" s="11"/>
      <c r="C1713" s="12"/>
      <c r="D1713" s="12"/>
      <c r="E1713" s="13"/>
      <c r="G1713" s="17"/>
      <c r="J1713" s="10"/>
    </row>
    <row r="1714">
      <c r="B1714" s="14"/>
      <c r="C1714" s="15"/>
      <c r="D1714" s="15"/>
      <c r="E1714" s="16"/>
      <c r="G1714" s="17"/>
      <c r="J1714" s="10"/>
    </row>
    <row r="1715">
      <c r="B1715" s="11"/>
      <c r="C1715" s="12"/>
      <c r="D1715" s="12"/>
      <c r="E1715" s="13"/>
      <c r="G1715" s="17"/>
      <c r="J1715" s="10"/>
    </row>
    <row r="1716">
      <c r="B1716" s="14"/>
      <c r="C1716" s="15"/>
      <c r="D1716" s="15"/>
      <c r="E1716" s="16"/>
      <c r="G1716" s="17"/>
      <c r="J1716" s="10"/>
    </row>
    <row r="1717">
      <c r="B1717" s="11"/>
      <c r="C1717" s="12"/>
      <c r="D1717" s="12"/>
      <c r="E1717" s="13"/>
      <c r="G1717" s="17"/>
      <c r="J1717" s="10"/>
    </row>
    <row r="1718">
      <c r="B1718" s="14"/>
      <c r="C1718" s="15"/>
      <c r="D1718" s="15"/>
      <c r="E1718" s="16"/>
      <c r="G1718" s="17"/>
      <c r="J1718" s="10"/>
    </row>
    <row r="1719">
      <c r="B1719" s="11"/>
      <c r="C1719" s="12"/>
      <c r="D1719" s="12"/>
      <c r="E1719" s="13"/>
      <c r="G1719" s="17"/>
      <c r="J1719" s="10"/>
    </row>
    <row r="1720">
      <c r="B1720" s="14"/>
      <c r="C1720" s="15"/>
      <c r="D1720" s="15"/>
      <c r="E1720" s="16"/>
      <c r="G1720" s="17"/>
      <c r="J1720" s="10"/>
    </row>
    <row r="1721">
      <c r="B1721" s="11"/>
      <c r="C1721" s="12"/>
      <c r="D1721" s="12"/>
      <c r="E1721" s="13"/>
      <c r="G1721" s="17"/>
      <c r="J1721" s="10"/>
    </row>
    <row r="1722">
      <c r="B1722" s="14"/>
      <c r="C1722" s="15"/>
      <c r="D1722" s="15"/>
      <c r="E1722" s="16"/>
      <c r="G1722" s="17"/>
      <c r="J1722" s="10"/>
    </row>
    <row r="1723">
      <c r="B1723" s="11"/>
      <c r="C1723" s="12"/>
      <c r="D1723" s="12"/>
      <c r="E1723" s="13"/>
      <c r="G1723" s="17"/>
      <c r="J1723" s="10"/>
    </row>
    <row r="1724">
      <c r="B1724" s="14"/>
      <c r="C1724" s="15"/>
      <c r="D1724" s="15"/>
      <c r="E1724" s="16"/>
      <c r="G1724" s="17"/>
      <c r="J1724" s="10"/>
    </row>
    <row r="1725">
      <c r="B1725" s="11"/>
      <c r="C1725" s="12"/>
      <c r="D1725" s="12"/>
      <c r="E1725" s="13"/>
      <c r="G1725" s="17"/>
      <c r="J1725" s="10"/>
    </row>
    <row r="1726">
      <c r="B1726" s="14"/>
      <c r="C1726" s="15"/>
      <c r="D1726" s="15"/>
      <c r="E1726" s="16"/>
      <c r="G1726" s="17"/>
      <c r="J1726" s="10"/>
    </row>
    <row r="1727">
      <c r="B1727" s="11"/>
      <c r="C1727" s="12"/>
      <c r="D1727" s="12"/>
      <c r="E1727" s="13"/>
      <c r="G1727" s="17"/>
      <c r="J1727" s="10"/>
    </row>
    <row r="1728">
      <c r="B1728" s="14"/>
      <c r="C1728" s="15"/>
      <c r="D1728" s="15"/>
      <c r="E1728" s="16"/>
      <c r="G1728" s="17"/>
      <c r="J1728" s="10"/>
    </row>
    <row r="1729">
      <c r="B1729" s="11"/>
      <c r="C1729" s="12"/>
      <c r="D1729" s="12"/>
      <c r="E1729" s="13"/>
      <c r="G1729" s="17"/>
      <c r="J1729" s="10"/>
    </row>
    <row r="1730">
      <c r="B1730" s="14"/>
      <c r="C1730" s="15"/>
      <c r="D1730" s="15"/>
      <c r="E1730" s="16"/>
      <c r="G1730" s="17"/>
      <c r="J1730" s="10"/>
    </row>
    <row r="1731">
      <c r="B1731" s="11"/>
      <c r="C1731" s="12"/>
      <c r="D1731" s="12"/>
      <c r="E1731" s="13"/>
      <c r="G1731" s="17"/>
      <c r="J1731" s="10"/>
    </row>
    <row r="1732">
      <c r="B1732" s="14"/>
      <c r="C1732" s="15"/>
      <c r="D1732" s="15"/>
      <c r="E1732" s="16"/>
      <c r="G1732" s="17"/>
      <c r="J1732" s="10"/>
    </row>
    <row r="1733">
      <c r="B1733" s="11"/>
      <c r="C1733" s="12"/>
      <c r="D1733" s="12"/>
      <c r="E1733" s="13"/>
      <c r="G1733" s="17"/>
      <c r="J1733" s="10"/>
    </row>
    <row r="1734">
      <c r="B1734" s="14"/>
      <c r="C1734" s="15"/>
      <c r="D1734" s="15"/>
      <c r="E1734" s="16"/>
      <c r="G1734" s="17"/>
      <c r="J1734" s="10"/>
    </row>
    <row r="1735">
      <c r="B1735" s="11"/>
      <c r="C1735" s="12"/>
      <c r="D1735" s="12"/>
      <c r="E1735" s="13"/>
      <c r="G1735" s="17"/>
      <c r="J1735" s="10"/>
    </row>
    <row r="1736">
      <c r="B1736" s="14"/>
      <c r="C1736" s="15"/>
      <c r="D1736" s="15"/>
      <c r="E1736" s="16"/>
      <c r="G1736" s="17"/>
      <c r="J1736" s="10"/>
    </row>
    <row r="1737">
      <c r="B1737" s="11"/>
      <c r="C1737" s="12"/>
      <c r="D1737" s="12"/>
      <c r="E1737" s="13"/>
      <c r="G1737" s="17"/>
      <c r="J1737" s="10"/>
    </row>
    <row r="1738">
      <c r="B1738" s="14"/>
      <c r="C1738" s="15"/>
      <c r="D1738" s="15"/>
      <c r="E1738" s="16"/>
      <c r="G1738" s="17"/>
      <c r="J1738" s="10"/>
    </row>
    <row r="1739">
      <c r="B1739" s="11"/>
      <c r="C1739" s="12"/>
      <c r="D1739" s="12"/>
      <c r="E1739" s="13"/>
      <c r="G1739" s="17"/>
      <c r="J1739" s="10"/>
    </row>
    <row r="1740">
      <c r="B1740" s="14"/>
      <c r="C1740" s="15"/>
      <c r="D1740" s="15"/>
      <c r="E1740" s="16"/>
      <c r="G1740" s="17"/>
      <c r="J1740" s="10"/>
    </row>
    <row r="1741">
      <c r="B1741" s="11"/>
      <c r="C1741" s="12"/>
      <c r="D1741" s="12"/>
      <c r="E1741" s="13"/>
      <c r="G1741" s="17"/>
      <c r="J1741" s="10"/>
    </row>
    <row r="1742">
      <c r="B1742" s="14"/>
      <c r="C1742" s="15"/>
      <c r="D1742" s="15"/>
      <c r="E1742" s="16"/>
      <c r="G1742" s="17"/>
      <c r="J1742" s="10"/>
    </row>
    <row r="1743">
      <c r="B1743" s="11"/>
      <c r="C1743" s="12"/>
      <c r="D1743" s="12"/>
      <c r="E1743" s="13"/>
      <c r="G1743" s="17"/>
      <c r="J1743" s="10"/>
    </row>
    <row r="1744">
      <c r="B1744" s="14"/>
      <c r="C1744" s="15"/>
      <c r="D1744" s="15"/>
      <c r="E1744" s="16"/>
      <c r="G1744" s="17"/>
      <c r="J1744" s="10"/>
    </row>
    <row r="1745">
      <c r="B1745" s="11"/>
      <c r="C1745" s="12"/>
      <c r="D1745" s="12"/>
      <c r="E1745" s="13"/>
      <c r="G1745" s="17"/>
      <c r="J1745" s="10"/>
    </row>
    <row r="1746">
      <c r="B1746" s="14"/>
      <c r="C1746" s="15"/>
      <c r="D1746" s="15"/>
      <c r="E1746" s="16"/>
      <c r="G1746" s="17"/>
      <c r="J1746" s="10"/>
    </row>
    <row r="1747">
      <c r="B1747" s="11"/>
      <c r="C1747" s="12"/>
      <c r="D1747" s="12"/>
      <c r="E1747" s="13"/>
      <c r="G1747" s="17"/>
      <c r="J1747" s="10"/>
    </row>
    <row r="1748">
      <c r="B1748" s="14"/>
      <c r="C1748" s="15"/>
      <c r="D1748" s="15"/>
      <c r="E1748" s="16"/>
      <c r="G1748" s="17"/>
      <c r="J1748" s="10"/>
    </row>
    <row r="1749">
      <c r="B1749" s="11"/>
      <c r="C1749" s="12"/>
      <c r="D1749" s="12"/>
      <c r="E1749" s="13"/>
      <c r="G1749" s="17"/>
      <c r="J1749" s="10"/>
    </row>
    <row r="1750">
      <c r="B1750" s="14"/>
      <c r="C1750" s="15"/>
      <c r="D1750" s="15"/>
      <c r="E1750" s="16"/>
      <c r="G1750" s="17"/>
      <c r="J1750" s="10"/>
    </row>
    <row r="1751">
      <c r="B1751" s="11"/>
      <c r="C1751" s="12"/>
      <c r="D1751" s="12"/>
      <c r="E1751" s="13"/>
      <c r="G1751" s="17"/>
      <c r="J1751" s="10"/>
    </row>
    <row r="1752">
      <c r="B1752" s="14"/>
      <c r="C1752" s="15"/>
      <c r="D1752" s="15"/>
      <c r="E1752" s="16"/>
      <c r="G1752" s="17"/>
      <c r="J1752" s="10"/>
    </row>
    <row r="1753">
      <c r="B1753" s="11"/>
      <c r="C1753" s="12"/>
      <c r="D1753" s="12"/>
      <c r="E1753" s="13"/>
      <c r="G1753" s="17"/>
      <c r="J1753" s="10"/>
    </row>
    <row r="1754">
      <c r="B1754" s="14"/>
      <c r="C1754" s="15"/>
      <c r="D1754" s="15"/>
      <c r="E1754" s="16"/>
      <c r="G1754" s="17"/>
      <c r="J1754" s="10"/>
    </row>
    <row r="1755">
      <c r="B1755" s="11"/>
      <c r="C1755" s="12"/>
      <c r="D1755" s="12"/>
      <c r="E1755" s="13"/>
      <c r="G1755" s="17"/>
      <c r="J1755" s="10"/>
    </row>
    <row r="1756">
      <c r="B1756" s="14"/>
      <c r="C1756" s="15"/>
      <c r="D1756" s="15"/>
      <c r="E1756" s="16"/>
      <c r="G1756" s="17"/>
      <c r="J1756" s="10"/>
    </row>
    <row r="1757">
      <c r="B1757" s="11"/>
      <c r="C1757" s="12"/>
      <c r="D1757" s="12"/>
      <c r="E1757" s="13"/>
      <c r="G1757" s="17"/>
      <c r="J1757" s="10"/>
    </row>
    <row r="1758">
      <c r="B1758" s="14"/>
      <c r="C1758" s="15"/>
      <c r="D1758" s="15"/>
      <c r="E1758" s="16"/>
      <c r="G1758" s="17"/>
      <c r="J1758" s="10"/>
    </row>
    <row r="1759">
      <c r="B1759" s="11"/>
      <c r="C1759" s="12"/>
      <c r="D1759" s="12"/>
      <c r="E1759" s="13"/>
      <c r="G1759" s="17"/>
      <c r="J1759" s="10"/>
    </row>
    <row r="1760">
      <c r="B1760" s="14"/>
      <c r="C1760" s="15"/>
      <c r="D1760" s="15"/>
      <c r="E1760" s="16"/>
      <c r="G1760" s="17"/>
      <c r="J1760" s="10"/>
    </row>
    <row r="1761">
      <c r="B1761" s="11"/>
      <c r="C1761" s="12"/>
      <c r="D1761" s="12"/>
      <c r="E1761" s="13"/>
      <c r="G1761" s="17"/>
      <c r="J1761" s="10"/>
    </row>
    <row r="1762">
      <c r="B1762" s="14"/>
      <c r="C1762" s="15"/>
      <c r="D1762" s="15"/>
      <c r="E1762" s="16"/>
      <c r="G1762" s="17"/>
      <c r="J1762" s="10"/>
    </row>
    <row r="1763">
      <c r="B1763" s="11"/>
      <c r="C1763" s="12"/>
      <c r="D1763" s="12"/>
      <c r="E1763" s="13"/>
      <c r="G1763" s="17"/>
      <c r="J1763" s="10"/>
    </row>
    <row r="1764">
      <c r="B1764" s="14"/>
      <c r="C1764" s="15"/>
      <c r="D1764" s="15"/>
      <c r="E1764" s="16"/>
      <c r="G1764" s="17"/>
      <c r="J1764" s="10"/>
    </row>
    <row r="1765">
      <c r="B1765" s="11"/>
      <c r="C1765" s="12"/>
      <c r="D1765" s="12"/>
      <c r="E1765" s="13"/>
      <c r="G1765" s="17"/>
      <c r="J1765" s="10"/>
    </row>
    <row r="1766">
      <c r="B1766" s="14"/>
      <c r="C1766" s="15"/>
      <c r="D1766" s="15"/>
      <c r="E1766" s="16"/>
      <c r="G1766" s="17"/>
      <c r="J1766" s="10"/>
    </row>
    <row r="1767">
      <c r="B1767" s="11"/>
      <c r="C1767" s="12"/>
      <c r="D1767" s="12"/>
      <c r="E1767" s="13"/>
      <c r="G1767" s="17"/>
      <c r="J1767" s="10"/>
    </row>
    <row r="1768">
      <c r="B1768" s="14"/>
      <c r="C1768" s="15"/>
      <c r="D1768" s="15"/>
      <c r="E1768" s="16"/>
      <c r="G1768" s="17"/>
      <c r="J1768" s="10"/>
    </row>
    <row r="1769">
      <c r="B1769" s="11"/>
      <c r="C1769" s="12"/>
      <c r="D1769" s="12"/>
      <c r="E1769" s="13"/>
      <c r="G1769" s="17"/>
      <c r="J1769" s="10"/>
    </row>
    <row r="1770">
      <c r="B1770" s="14"/>
      <c r="C1770" s="15"/>
      <c r="D1770" s="15"/>
      <c r="E1770" s="16"/>
      <c r="G1770" s="17"/>
      <c r="J1770" s="10"/>
    </row>
    <row r="1771">
      <c r="B1771" s="11"/>
      <c r="C1771" s="12"/>
      <c r="D1771" s="12"/>
      <c r="E1771" s="13"/>
      <c r="G1771" s="17"/>
      <c r="J1771" s="10"/>
    </row>
    <row r="1772">
      <c r="B1772" s="14"/>
      <c r="C1772" s="15"/>
      <c r="D1772" s="15"/>
      <c r="E1772" s="16"/>
      <c r="G1772" s="17"/>
      <c r="J1772" s="10"/>
    </row>
    <row r="1773">
      <c r="B1773" s="11"/>
      <c r="C1773" s="12"/>
      <c r="D1773" s="12"/>
      <c r="E1773" s="13"/>
      <c r="G1773" s="17"/>
      <c r="J1773" s="10"/>
    </row>
    <row r="1774">
      <c r="B1774" s="14"/>
      <c r="C1774" s="15"/>
      <c r="D1774" s="15"/>
      <c r="E1774" s="16"/>
      <c r="G1774" s="17"/>
      <c r="J1774" s="10"/>
    </row>
    <row r="1775">
      <c r="B1775" s="11"/>
      <c r="C1775" s="12"/>
      <c r="D1775" s="12"/>
      <c r="E1775" s="13"/>
      <c r="G1775" s="17"/>
      <c r="J1775" s="10"/>
    </row>
    <row r="1776">
      <c r="B1776" s="14"/>
      <c r="C1776" s="15"/>
      <c r="D1776" s="15"/>
      <c r="E1776" s="16"/>
      <c r="G1776" s="17"/>
      <c r="J1776" s="10"/>
    </row>
    <row r="1777">
      <c r="B1777" s="11"/>
      <c r="C1777" s="12"/>
      <c r="D1777" s="12"/>
      <c r="E1777" s="13"/>
      <c r="G1777" s="17"/>
      <c r="J1777" s="10"/>
    </row>
    <row r="1778">
      <c r="B1778" s="14"/>
      <c r="C1778" s="15"/>
      <c r="D1778" s="15"/>
      <c r="E1778" s="16"/>
      <c r="G1778" s="17"/>
      <c r="J1778" s="10"/>
    </row>
    <row r="1779">
      <c r="B1779" s="11"/>
      <c r="C1779" s="12"/>
      <c r="D1779" s="12"/>
      <c r="E1779" s="13"/>
      <c r="G1779" s="17"/>
      <c r="J1779" s="10"/>
    </row>
    <row r="1780">
      <c r="B1780" s="14"/>
      <c r="C1780" s="15"/>
      <c r="D1780" s="15"/>
      <c r="E1780" s="16"/>
      <c r="G1780" s="17"/>
      <c r="J1780" s="10"/>
    </row>
    <row r="1781">
      <c r="B1781" s="11"/>
      <c r="C1781" s="12"/>
      <c r="D1781" s="12"/>
      <c r="E1781" s="13"/>
      <c r="G1781" s="17"/>
      <c r="J1781" s="10"/>
    </row>
    <row r="1782">
      <c r="B1782" s="14"/>
      <c r="C1782" s="15"/>
      <c r="D1782" s="15"/>
      <c r="E1782" s="16"/>
      <c r="G1782" s="17"/>
      <c r="J1782" s="10"/>
    </row>
    <row r="1783">
      <c r="B1783" s="11"/>
      <c r="C1783" s="12"/>
      <c r="D1783" s="12"/>
      <c r="E1783" s="13"/>
      <c r="G1783" s="17"/>
      <c r="J1783" s="10"/>
    </row>
    <row r="1784">
      <c r="B1784" s="14"/>
      <c r="C1784" s="15"/>
      <c r="D1784" s="15"/>
      <c r="E1784" s="16"/>
      <c r="G1784" s="17"/>
      <c r="J1784" s="10"/>
    </row>
    <row r="1785">
      <c r="B1785" s="11"/>
      <c r="C1785" s="12"/>
      <c r="D1785" s="12"/>
      <c r="E1785" s="13"/>
      <c r="G1785" s="17"/>
      <c r="J1785" s="10"/>
    </row>
    <row r="1786">
      <c r="B1786" s="14"/>
      <c r="C1786" s="15"/>
      <c r="D1786" s="15"/>
      <c r="E1786" s="16"/>
      <c r="G1786" s="17"/>
      <c r="J1786" s="10"/>
    </row>
    <row r="1787">
      <c r="B1787" s="11"/>
      <c r="C1787" s="12"/>
      <c r="D1787" s="12"/>
      <c r="E1787" s="13"/>
      <c r="G1787" s="17"/>
      <c r="J1787" s="10"/>
    </row>
    <row r="1788">
      <c r="B1788" s="14"/>
      <c r="C1788" s="15"/>
      <c r="D1788" s="15"/>
      <c r="E1788" s="16"/>
      <c r="G1788" s="17"/>
      <c r="J1788" s="10"/>
    </row>
    <row r="1789">
      <c r="B1789" s="11"/>
      <c r="C1789" s="12"/>
      <c r="D1789" s="12"/>
      <c r="E1789" s="13"/>
      <c r="G1789" s="17"/>
      <c r="J1789" s="10"/>
    </row>
    <row r="1790">
      <c r="B1790" s="14"/>
      <c r="C1790" s="15"/>
      <c r="D1790" s="15"/>
      <c r="E1790" s="16"/>
      <c r="G1790" s="17"/>
      <c r="J1790" s="10"/>
    </row>
    <row r="1791">
      <c r="B1791" s="11"/>
      <c r="C1791" s="12"/>
      <c r="D1791" s="12"/>
      <c r="E1791" s="13"/>
      <c r="G1791" s="17"/>
      <c r="J1791" s="10"/>
    </row>
    <row r="1792">
      <c r="B1792" s="14"/>
      <c r="C1792" s="15"/>
      <c r="D1792" s="15"/>
      <c r="E1792" s="16"/>
      <c r="G1792" s="17"/>
      <c r="J1792" s="10"/>
    </row>
    <row r="1793">
      <c r="B1793" s="11"/>
      <c r="C1793" s="12"/>
      <c r="D1793" s="12"/>
      <c r="E1793" s="13"/>
      <c r="G1793" s="17"/>
      <c r="J1793" s="10"/>
    </row>
    <row r="1794">
      <c r="B1794" s="14"/>
      <c r="C1794" s="15"/>
      <c r="D1794" s="15"/>
      <c r="E1794" s="16"/>
      <c r="G1794" s="17"/>
      <c r="J1794" s="10"/>
    </row>
    <row r="1795">
      <c r="B1795" s="11"/>
      <c r="C1795" s="12"/>
      <c r="D1795" s="12"/>
      <c r="E1795" s="13"/>
      <c r="G1795" s="17"/>
      <c r="J1795" s="10"/>
    </row>
    <row r="1796">
      <c r="B1796" s="14"/>
      <c r="C1796" s="15"/>
      <c r="D1796" s="15"/>
      <c r="E1796" s="16"/>
      <c r="G1796" s="17"/>
      <c r="J1796" s="10"/>
    </row>
    <row r="1797">
      <c r="B1797" s="11"/>
      <c r="C1797" s="12"/>
      <c r="D1797" s="12"/>
      <c r="E1797" s="13"/>
      <c r="G1797" s="17"/>
      <c r="J1797" s="10"/>
    </row>
    <row r="1798">
      <c r="B1798" s="14"/>
      <c r="C1798" s="15"/>
      <c r="D1798" s="15"/>
      <c r="E1798" s="16"/>
      <c r="G1798" s="17"/>
      <c r="J1798" s="10"/>
    </row>
    <row r="1799">
      <c r="B1799" s="11"/>
      <c r="C1799" s="12"/>
      <c r="D1799" s="12"/>
      <c r="E1799" s="13"/>
      <c r="G1799" s="17"/>
      <c r="J1799" s="10"/>
    </row>
    <row r="1800">
      <c r="B1800" s="14"/>
      <c r="C1800" s="15"/>
      <c r="D1800" s="15"/>
      <c r="E1800" s="16"/>
      <c r="G1800" s="17"/>
      <c r="J1800" s="10"/>
    </row>
    <row r="1801">
      <c r="B1801" s="11"/>
      <c r="C1801" s="12"/>
      <c r="D1801" s="12"/>
      <c r="E1801" s="13"/>
      <c r="G1801" s="17"/>
      <c r="J1801" s="10"/>
    </row>
    <row r="1802">
      <c r="B1802" s="14"/>
      <c r="C1802" s="15"/>
      <c r="D1802" s="15"/>
      <c r="E1802" s="16"/>
      <c r="G1802" s="17"/>
      <c r="J1802" s="10"/>
    </row>
    <row r="1803">
      <c r="B1803" s="11"/>
      <c r="C1803" s="12"/>
      <c r="D1803" s="12"/>
      <c r="E1803" s="13"/>
      <c r="G1803" s="17"/>
      <c r="J1803" s="10"/>
    </row>
    <row r="1804">
      <c r="B1804" s="14"/>
      <c r="C1804" s="15"/>
      <c r="D1804" s="15"/>
      <c r="E1804" s="16"/>
      <c r="G1804" s="17"/>
      <c r="J1804" s="10"/>
    </row>
    <row r="1805">
      <c r="B1805" s="11"/>
      <c r="C1805" s="12"/>
      <c r="D1805" s="12"/>
      <c r="E1805" s="13"/>
      <c r="G1805" s="17"/>
      <c r="J1805" s="10"/>
    </row>
    <row r="1806">
      <c r="B1806" s="14"/>
      <c r="C1806" s="15"/>
      <c r="D1806" s="15"/>
      <c r="E1806" s="16"/>
      <c r="G1806" s="17"/>
      <c r="J1806" s="10"/>
    </row>
    <row r="1807">
      <c r="B1807" s="11"/>
      <c r="C1807" s="12"/>
      <c r="D1807" s="12"/>
      <c r="E1807" s="13"/>
      <c r="G1807" s="17"/>
      <c r="J1807" s="10"/>
    </row>
    <row r="1808">
      <c r="B1808" s="14"/>
      <c r="C1808" s="15"/>
      <c r="D1808" s="15"/>
      <c r="E1808" s="16"/>
      <c r="G1808" s="17"/>
      <c r="J1808" s="10"/>
    </row>
    <row r="1809">
      <c r="B1809" s="11"/>
      <c r="C1809" s="12"/>
      <c r="D1809" s="12"/>
      <c r="E1809" s="13"/>
      <c r="G1809" s="17"/>
      <c r="J1809" s="10"/>
    </row>
    <row r="1810">
      <c r="B1810" s="14"/>
      <c r="C1810" s="15"/>
      <c r="D1810" s="15"/>
      <c r="E1810" s="16"/>
      <c r="G1810" s="17"/>
      <c r="J1810" s="10"/>
    </row>
    <row r="1811">
      <c r="B1811" s="11"/>
      <c r="C1811" s="12"/>
      <c r="D1811" s="12"/>
      <c r="E1811" s="13"/>
      <c r="G1811" s="17"/>
      <c r="J1811" s="10"/>
    </row>
    <row r="1812">
      <c r="B1812" s="14"/>
      <c r="C1812" s="15"/>
      <c r="D1812" s="15"/>
      <c r="E1812" s="16"/>
      <c r="G1812" s="17"/>
      <c r="J1812" s="10"/>
    </row>
    <row r="1813">
      <c r="B1813" s="11"/>
      <c r="C1813" s="12"/>
      <c r="D1813" s="12"/>
      <c r="E1813" s="13"/>
      <c r="G1813" s="17"/>
      <c r="J1813" s="10"/>
    </row>
    <row r="1814">
      <c r="B1814" s="14"/>
      <c r="C1814" s="15"/>
      <c r="D1814" s="15"/>
      <c r="E1814" s="16"/>
      <c r="G1814" s="17"/>
      <c r="J1814" s="10"/>
    </row>
    <row r="1815">
      <c r="B1815" s="11"/>
      <c r="C1815" s="12"/>
      <c r="D1815" s="12"/>
      <c r="E1815" s="13"/>
      <c r="G1815" s="17"/>
      <c r="J1815" s="10"/>
    </row>
    <row r="1816">
      <c r="B1816" s="14"/>
      <c r="C1816" s="15"/>
      <c r="D1816" s="15"/>
      <c r="E1816" s="16"/>
      <c r="G1816" s="17"/>
      <c r="J1816" s="10"/>
    </row>
    <row r="1817">
      <c r="B1817" s="11"/>
      <c r="C1817" s="12"/>
      <c r="D1817" s="12"/>
      <c r="E1817" s="13"/>
      <c r="G1817" s="17"/>
      <c r="J1817" s="10"/>
    </row>
    <row r="1818">
      <c r="B1818" s="14"/>
      <c r="C1818" s="15"/>
      <c r="D1818" s="15"/>
      <c r="E1818" s="16"/>
      <c r="G1818" s="17"/>
      <c r="J1818" s="10"/>
    </row>
    <row r="1819">
      <c r="B1819" s="11"/>
      <c r="C1819" s="12"/>
      <c r="D1819" s="12"/>
      <c r="E1819" s="13"/>
      <c r="G1819" s="17"/>
      <c r="J1819" s="10"/>
    </row>
    <row r="1820">
      <c r="B1820" s="14"/>
      <c r="C1820" s="15"/>
      <c r="D1820" s="15"/>
      <c r="E1820" s="16"/>
      <c r="G1820" s="17"/>
      <c r="J1820" s="10"/>
    </row>
    <row r="1821">
      <c r="B1821" s="11"/>
      <c r="C1821" s="12"/>
      <c r="D1821" s="12"/>
      <c r="E1821" s="13"/>
      <c r="G1821" s="17"/>
      <c r="J1821" s="10"/>
    </row>
    <row r="1822">
      <c r="B1822" s="14"/>
      <c r="C1822" s="15"/>
      <c r="D1822" s="15"/>
      <c r="E1822" s="16"/>
      <c r="G1822" s="17"/>
      <c r="J1822" s="10"/>
    </row>
    <row r="1823">
      <c r="B1823" s="11"/>
      <c r="C1823" s="12"/>
      <c r="D1823" s="12"/>
      <c r="E1823" s="13"/>
      <c r="G1823" s="17"/>
      <c r="J1823" s="10"/>
    </row>
    <row r="1824">
      <c r="B1824" s="14"/>
      <c r="C1824" s="15"/>
      <c r="D1824" s="15"/>
      <c r="E1824" s="16"/>
      <c r="G1824" s="17"/>
      <c r="J1824" s="10"/>
    </row>
    <row r="1825">
      <c r="B1825" s="11"/>
      <c r="C1825" s="12"/>
      <c r="D1825" s="12"/>
      <c r="E1825" s="13"/>
      <c r="G1825" s="17"/>
      <c r="J1825" s="10"/>
    </row>
    <row r="1826">
      <c r="B1826" s="14"/>
      <c r="C1826" s="15"/>
      <c r="D1826" s="15"/>
      <c r="E1826" s="16"/>
      <c r="G1826" s="17"/>
      <c r="J1826" s="10"/>
    </row>
    <row r="1827">
      <c r="B1827" s="11"/>
      <c r="C1827" s="12"/>
      <c r="D1827" s="12"/>
      <c r="E1827" s="13"/>
      <c r="G1827" s="17"/>
      <c r="J1827" s="10"/>
    </row>
    <row r="1828">
      <c r="B1828" s="14"/>
      <c r="C1828" s="15"/>
      <c r="D1828" s="15"/>
      <c r="E1828" s="16"/>
      <c r="G1828" s="17"/>
      <c r="J1828" s="10"/>
    </row>
    <row r="1829">
      <c r="B1829" s="11"/>
      <c r="C1829" s="12"/>
      <c r="D1829" s="12"/>
      <c r="E1829" s="13"/>
      <c r="G1829" s="17"/>
      <c r="J1829" s="10"/>
    </row>
    <row r="1830">
      <c r="B1830" s="14"/>
      <c r="C1830" s="15"/>
      <c r="D1830" s="15"/>
      <c r="E1830" s="16"/>
      <c r="G1830" s="17"/>
      <c r="J1830" s="10"/>
    </row>
    <row r="1831">
      <c r="B1831" s="11"/>
      <c r="C1831" s="12"/>
      <c r="D1831" s="12"/>
      <c r="E1831" s="13"/>
      <c r="G1831" s="17"/>
      <c r="J1831" s="10"/>
    </row>
    <row r="1832">
      <c r="B1832" s="14"/>
      <c r="C1832" s="15"/>
      <c r="D1832" s="15"/>
      <c r="E1832" s="16"/>
      <c r="G1832" s="17"/>
      <c r="J1832" s="10"/>
    </row>
    <row r="1833">
      <c r="B1833" s="11"/>
      <c r="C1833" s="12"/>
      <c r="D1833" s="12"/>
      <c r="E1833" s="13"/>
      <c r="G1833" s="17"/>
      <c r="J1833" s="10"/>
    </row>
    <row r="1834">
      <c r="B1834" s="14"/>
      <c r="C1834" s="15"/>
      <c r="D1834" s="15"/>
      <c r="E1834" s="16"/>
      <c r="G1834" s="17"/>
      <c r="J1834" s="10"/>
    </row>
    <row r="1835">
      <c r="B1835" s="11"/>
      <c r="C1835" s="12"/>
      <c r="D1835" s="12"/>
      <c r="E1835" s="13"/>
      <c r="G1835" s="17"/>
      <c r="J1835" s="10"/>
    </row>
    <row r="1836">
      <c r="B1836" s="14"/>
      <c r="C1836" s="15"/>
      <c r="D1836" s="15"/>
      <c r="E1836" s="16"/>
      <c r="G1836" s="17"/>
      <c r="J1836" s="10"/>
    </row>
    <row r="1837">
      <c r="B1837" s="11"/>
      <c r="C1837" s="12"/>
      <c r="D1837" s="12"/>
      <c r="E1837" s="13"/>
      <c r="G1837" s="17"/>
      <c r="J1837" s="10"/>
    </row>
    <row r="1838">
      <c r="B1838" s="14"/>
      <c r="C1838" s="15"/>
      <c r="D1838" s="15"/>
      <c r="E1838" s="16"/>
      <c r="G1838" s="17"/>
      <c r="J1838" s="10"/>
    </row>
    <row r="1839">
      <c r="B1839" s="11"/>
      <c r="C1839" s="12"/>
      <c r="D1839" s="12"/>
      <c r="E1839" s="13"/>
      <c r="G1839" s="17"/>
      <c r="J1839" s="10"/>
    </row>
    <row r="1840">
      <c r="B1840" s="14"/>
      <c r="C1840" s="15"/>
      <c r="D1840" s="15"/>
      <c r="E1840" s="16"/>
      <c r="G1840" s="17"/>
      <c r="J1840" s="10"/>
    </row>
    <row r="1841">
      <c r="B1841" s="11"/>
      <c r="C1841" s="12"/>
      <c r="D1841" s="12"/>
      <c r="E1841" s="13"/>
      <c r="G1841" s="17"/>
      <c r="J1841" s="10"/>
    </row>
    <row r="1842">
      <c r="B1842" s="14"/>
      <c r="C1842" s="15"/>
      <c r="D1842" s="15"/>
      <c r="E1842" s="16"/>
      <c r="G1842" s="17"/>
      <c r="J1842" s="10"/>
    </row>
    <row r="1843">
      <c r="B1843" s="11"/>
      <c r="C1843" s="12"/>
      <c r="D1843" s="12"/>
      <c r="E1843" s="13"/>
      <c r="G1843" s="17"/>
      <c r="J1843" s="10"/>
    </row>
    <row r="1844">
      <c r="B1844" s="14"/>
      <c r="C1844" s="15"/>
      <c r="D1844" s="15"/>
      <c r="E1844" s="16"/>
      <c r="G1844" s="17"/>
      <c r="J1844" s="10"/>
    </row>
    <row r="1845">
      <c r="B1845" s="11"/>
      <c r="C1845" s="12"/>
      <c r="D1845" s="12"/>
      <c r="E1845" s="13"/>
      <c r="G1845" s="17"/>
      <c r="J1845" s="10"/>
    </row>
    <row r="1846">
      <c r="B1846" s="14"/>
      <c r="C1846" s="15"/>
      <c r="D1846" s="15"/>
      <c r="E1846" s="16"/>
      <c r="G1846" s="17"/>
      <c r="J1846" s="10"/>
    </row>
    <row r="1847">
      <c r="B1847" s="11"/>
      <c r="C1847" s="12"/>
      <c r="D1847" s="12"/>
      <c r="E1847" s="13"/>
      <c r="G1847" s="17"/>
      <c r="J1847" s="10"/>
    </row>
    <row r="1848">
      <c r="B1848" s="14"/>
      <c r="C1848" s="15"/>
      <c r="D1848" s="15"/>
      <c r="E1848" s="16"/>
      <c r="G1848" s="17"/>
      <c r="J1848" s="10"/>
    </row>
    <row r="1849">
      <c r="B1849" s="11"/>
      <c r="C1849" s="12"/>
      <c r="D1849" s="12"/>
      <c r="E1849" s="13"/>
      <c r="G1849" s="17"/>
      <c r="J1849" s="10"/>
    </row>
    <row r="1850">
      <c r="B1850" s="14"/>
      <c r="C1850" s="15"/>
      <c r="D1850" s="15"/>
      <c r="E1850" s="16"/>
      <c r="G1850" s="17"/>
      <c r="J1850" s="10"/>
    </row>
    <row r="1851">
      <c r="B1851" s="11"/>
      <c r="C1851" s="12"/>
      <c r="D1851" s="12"/>
      <c r="E1851" s="13"/>
      <c r="G1851" s="17"/>
      <c r="J1851" s="10"/>
    </row>
    <row r="1852">
      <c r="B1852" s="14"/>
      <c r="C1852" s="15"/>
      <c r="D1852" s="15"/>
      <c r="E1852" s="16"/>
      <c r="G1852" s="17"/>
      <c r="J1852" s="10"/>
    </row>
    <row r="1853">
      <c r="B1853" s="11"/>
      <c r="C1853" s="12"/>
      <c r="D1853" s="12"/>
      <c r="E1853" s="13"/>
      <c r="G1853" s="17"/>
      <c r="J1853" s="10"/>
    </row>
    <row r="1854">
      <c r="B1854" s="14"/>
      <c r="C1854" s="15"/>
      <c r="D1854" s="15"/>
      <c r="E1854" s="16"/>
      <c r="G1854" s="17"/>
      <c r="J1854" s="10"/>
    </row>
    <row r="1855">
      <c r="B1855" s="11"/>
      <c r="C1855" s="12"/>
      <c r="D1855" s="12"/>
      <c r="E1855" s="13"/>
      <c r="G1855" s="17"/>
      <c r="J1855" s="10"/>
    </row>
    <row r="1856">
      <c r="B1856" s="14"/>
      <c r="C1856" s="15"/>
      <c r="D1856" s="15"/>
      <c r="E1856" s="16"/>
      <c r="G1856" s="17"/>
      <c r="J1856" s="10"/>
    </row>
    <row r="1857">
      <c r="B1857" s="11"/>
      <c r="C1857" s="12"/>
      <c r="D1857" s="12"/>
      <c r="E1857" s="13"/>
      <c r="G1857" s="17"/>
      <c r="J1857" s="10"/>
    </row>
    <row r="1858">
      <c r="B1858" s="14"/>
      <c r="C1858" s="15"/>
      <c r="D1858" s="15"/>
      <c r="E1858" s="16"/>
      <c r="G1858" s="17"/>
      <c r="J1858" s="10"/>
    </row>
    <row r="1859">
      <c r="B1859" s="11"/>
      <c r="C1859" s="12"/>
      <c r="D1859" s="12"/>
      <c r="E1859" s="13"/>
      <c r="G1859" s="17"/>
      <c r="J1859" s="10"/>
    </row>
    <row r="1860">
      <c r="B1860" s="14"/>
      <c r="C1860" s="15"/>
      <c r="D1860" s="15"/>
      <c r="E1860" s="16"/>
      <c r="G1860" s="17"/>
      <c r="J1860" s="10"/>
    </row>
    <row r="1861">
      <c r="B1861" s="11"/>
      <c r="C1861" s="12"/>
      <c r="D1861" s="12"/>
      <c r="E1861" s="13"/>
      <c r="G1861" s="17"/>
      <c r="J1861" s="10"/>
    </row>
    <row r="1862">
      <c r="B1862" s="14"/>
      <c r="C1862" s="15"/>
      <c r="D1862" s="15"/>
      <c r="E1862" s="16"/>
      <c r="G1862" s="17"/>
      <c r="J1862" s="10"/>
    </row>
    <row r="1863">
      <c r="B1863" s="11"/>
      <c r="C1863" s="12"/>
      <c r="D1863" s="12"/>
      <c r="E1863" s="13"/>
      <c r="G1863" s="17"/>
      <c r="J1863" s="10"/>
    </row>
    <row r="1864">
      <c r="B1864" s="14"/>
      <c r="C1864" s="15"/>
      <c r="D1864" s="15"/>
      <c r="E1864" s="16"/>
      <c r="G1864" s="17"/>
      <c r="J1864" s="10"/>
    </row>
    <row r="1865">
      <c r="B1865" s="11"/>
      <c r="C1865" s="12"/>
      <c r="D1865" s="12"/>
      <c r="E1865" s="13"/>
      <c r="G1865" s="17"/>
      <c r="J1865" s="10"/>
    </row>
    <row r="1866">
      <c r="B1866" s="14"/>
      <c r="C1866" s="15"/>
      <c r="D1866" s="15"/>
      <c r="E1866" s="16"/>
      <c r="G1866" s="17"/>
      <c r="J1866" s="10"/>
    </row>
    <row r="1867">
      <c r="B1867" s="11"/>
      <c r="C1867" s="12"/>
      <c r="D1867" s="12"/>
      <c r="E1867" s="13"/>
      <c r="G1867" s="17"/>
      <c r="J1867" s="10"/>
    </row>
    <row r="1868">
      <c r="B1868" s="14"/>
      <c r="C1868" s="15"/>
      <c r="D1868" s="15"/>
      <c r="E1868" s="16"/>
      <c r="G1868" s="17"/>
      <c r="J1868" s="10"/>
    </row>
    <row r="1869">
      <c r="B1869" s="11"/>
      <c r="C1869" s="12"/>
      <c r="D1869" s="12"/>
      <c r="E1869" s="13"/>
      <c r="G1869" s="17"/>
      <c r="J1869" s="10"/>
    </row>
    <row r="1870">
      <c r="B1870" s="14"/>
      <c r="C1870" s="15"/>
      <c r="D1870" s="15"/>
      <c r="E1870" s="16"/>
      <c r="G1870" s="17"/>
      <c r="J1870" s="10"/>
    </row>
    <row r="1871">
      <c r="B1871" s="11"/>
      <c r="C1871" s="12"/>
      <c r="D1871" s="12"/>
      <c r="E1871" s="13"/>
      <c r="G1871" s="17"/>
      <c r="J1871" s="10"/>
    </row>
    <row r="1872">
      <c r="B1872" s="14"/>
      <c r="C1872" s="15"/>
      <c r="D1872" s="15"/>
      <c r="E1872" s="16"/>
      <c r="G1872" s="17"/>
      <c r="J1872" s="10"/>
    </row>
    <row r="1873">
      <c r="B1873" s="11"/>
      <c r="C1873" s="12"/>
      <c r="D1873" s="12"/>
      <c r="E1873" s="13"/>
      <c r="G1873" s="17"/>
      <c r="J1873" s="10"/>
    </row>
    <row r="1874">
      <c r="B1874" s="14"/>
      <c r="C1874" s="15"/>
      <c r="D1874" s="15"/>
      <c r="E1874" s="16"/>
      <c r="G1874" s="17"/>
      <c r="J1874" s="10"/>
    </row>
    <row r="1875">
      <c r="B1875" s="11"/>
      <c r="C1875" s="12"/>
      <c r="D1875" s="12"/>
      <c r="E1875" s="13"/>
      <c r="G1875" s="17"/>
      <c r="J1875" s="10"/>
    </row>
    <row r="1876">
      <c r="B1876" s="14"/>
      <c r="C1876" s="15"/>
      <c r="D1876" s="15"/>
      <c r="E1876" s="16"/>
      <c r="G1876" s="17"/>
      <c r="J1876" s="10"/>
    </row>
    <row r="1877">
      <c r="B1877" s="11"/>
      <c r="C1877" s="12"/>
      <c r="D1877" s="12"/>
      <c r="E1877" s="13"/>
      <c r="G1877" s="17"/>
      <c r="J1877" s="10"/>
    </row>
    <row r="1878">
      <c r="B1878" s="14"/>
      <c r="C1878" s="15"/>
      <c r="D1878" s="15"/>
      <c r="E1878" s="16"/>
      <c r="G1878" s="17"/>
      <c r="J1878" s="10"/>
    </row>
    <row r="1879">
      <c r="B1879" s="11"/>
      <c r="C1879" s="12"/>
      <c r="D1879" s="12"/>
      <c r="E1879" s="13"/>
      <c r="G1879" s="17"/>
      <c r="J1879" s="10"/>
    </row>
    <row r="1880">
      <c r="B1880" s="14"/>
      <c r="C1880" s="15"/>
      <c r="D1880" s="15"/>
      <c r="E1880" s="16"/>
      <c r="G1880" s="17"/>
      <c r="J1880" s="10"/>
    </row>
    <row r="1881">
      <c r="B1881" s="11"/>
      <c r="C1881" s="12"/>
      <c r="D1881" s="12"/>
      <c r="E1881" s="13"/>
      <c r="G1881" s="17"/>
      <c r="J1881" s="10"/>
    </row>
    <row r="1882">
      <c r="B1882" s="14"/>
      <c r="C1882" s="15"/>
      <c r="D1882" s="15"/>
      <c r="E1882" s="16"/>
      <c r="G1882" s="17"/>
      <c r="J1882" s="10"/>
    </row>
    <row r="1883">
      <c r="B1883" s="11"/>
      <c r="C1883" s="12"/>
      <c r="D1883" s="12"/>
      <c r="E1883" s="13"/>
      <c r="G1883" s="17"/>
      <c r="J1883" s="10"/>
    </row>
    <row r="1884">
      <c r="B1884" s="14"/>
      <c r="C1884" s="15"/>
      <c r="D1884" s="15"/>
      <c r="E1884" s="16"/>
      <c r="G1884" s="17"/>
      <c r="J1884" s="10"/>
    </row>
    <row r="1885">
      <c r="B1885" s="11"/>
      <c r="C1885" s="12"/>
      <c r="D1885" s="12"/>
      <c r="E1885" s="13"/>
      <c r="G1885" s="17"/>
      <c r="J1885" s="10"/>
    </row>
    <row r="1886">
      <c r="B1886" s="14"/>
      <c r="C1886" s="15"/>
      <c r="D1886" s="15"/>
      <c r="E1886" s="16"/>
      <c r="G1886" s="17"/>
      <c r="J1886" s="10"/>
    </row>
    <row r="1887">
      <c r="B1887" s="11"/>
      <c r="C1887" s="12"/>
      <c r="D1887" s="12"/>
      <c r="E1887" s="13"/>
      <c r="G1887" s="17"/>
      <c r="J1887" s="10"/>
    </row>
    <row r="1888">
      <c r="B1888" s="14"/>
      <c r="C1888" s="15"/>
      <c r="D1888" s="15"/>
      <c r="E1888" s="16"/>
      <c r="G1888" s="17"/>
      <c r="J1888" s="10"/>
    </row>
    <row r="1889">
      <c r="B1889" s="11"/>
      <c r="C1889" s="12"/>
      <c r="D1889" s="12"/>
      <c r="E1889" s="13"/>
      <c r="G1889" s="17"/>
      <c r="J1889" s="10"/>
    </row>
    <row r="1890">
      <c r="B1890" s="14"/>
      <c r="C1890" s="15"/>
      <c r="D1890" s="15"/>
      <c r="E1890" s="16"/>
      <c r="G1890" s="17"/>
      <c r="J1890" s="10"/>
    </row>
    <row r="1891">
      <c r="B1891" s="11"/>
      <c r="C1891" s="12"/>
      <c r="D1891" s="12"/>
      <c r="E1891" s="13"/>
      <c r="G1891" s="17"/>
      <c r="J1891" s="10"/>
    </row>
    <row r="1892">
      <c r="B1892" s="14"/>
      <c r="C1892" s="15"/>
      <c r="D1892" s="15"/>
      <c r="E1892" s="16"/>
      <c r="G1892" s="17"/>
      <c r="J1892" s="10"/>
    </row>
    <row r="1893">
      <c r="B1893" s="11"/>
      <c r="C1893" s="12"/>
      <c r="D1893" s="12"/>
      <c r="E1893" s="13"/>
      <c r="G1893" s="17"/>
      <c r="J1893" s="10"/>
    </row>
    <row r="1894">
      <c r="B1894" s="14"/>
      <c r="C1894" s="15"/>
      <c r="D1894" s="15"/>
      <c r="E1894" s="16"/>
      <c r="G1894" s="17"/>
      <c r="J1894" s="10"/>
    </row>
    <row r="1895">
      <c r="B1895" s="11"/>
      <c r="C1895" s="12"/>
      <c r="D1895" s="12"/>
      <c r="E1895" s="13"/>
      <c r="G1895" s="17"/>
      <c r="J1895" s="10"/>
    </row>
    <row r="1896">
      <c r="B1896" s="14"/>
      <c r="C1896" s="15"/>
      <c r="D1896" s="15"/>
      <c r="E1896" s="16"/>
      <c r="G1896" s="17"/>
      <c r="J1896" s="10"/>
    </row>
    <row r="1897">
      <c r="B1897" s="11"/>
      <c r="C1897" s="12"/>
      <c r="D1897" s="12"/>
      <c r="E1897" s="13"/>
      <c r="G1897" s="17"/>
      <c r="J1897" s="10"/>
    </row>
    <row r="1898">
      <c r="B1898" s="14"/>
      <c r="C1898" s="15"/>
      <c r="D1898" s="15"/>
      <c r="E1898" s="16"/>
      <c r="G1898" s="17"/>
      <c r="J1898" s="10"/>
    </row>
    <row r="1899">
      <c r="B1899" s="11"/>
      <c r="C1899" s="12"/>
      <c r="D1899" s="12"/>
      <c r="E1899" s="13"/>
      <c r="G1899" s="17"/>
      <c r="J1899" s="10"/>
    </row>
    <row r="1900">
      <c r="B1900" s="14"/>
      <c r="C1900" s="15"/>
      <c r="D1900" s="15"/>
      <c r="E1900" s="16"/>
      <c r="G1900" s="17"/>
      <c r="J1900" s="10"/>
    </row>
    <row r="1901">
      <c r="B1901" s="11"/>
      <c r="C1901" s="12"/>
      <c r="D1901" s="12"/>
      <c r="E1901" s="13"/>
      <c r="G1901" s="17"/>
      <c r="J1901" s="10"/>
    </row>
    <row r="1902">
      <c r="B1902" s="14"/>
      <c r="C1902" s="15"/>
      <c r="D1902" s="15"/>
      <c r="E1902" s="16"/>
      <c r="G1902" s="17"/>
      <c r="J1902" s="10"/>
    </row>
    <row r="1903">
      <c r="B1903" s="11"/>
      <c r="C1903" s="12"/>
      <c r="D1903" s="12"/>
      <c r="E1903" s="13"/>
      <c r="G1903" s="17"/>
      <c r="J1903" s="10"/>
    </row>
    <row r="1904">
      <c r="B1904" s="14"/>
      <c r="C1904" s="15"/>
      <c r="D1904" s="15"/>
      <c r="E1904" s="16"/>
      <c r="G1904" s="17"/>
      <c r="J1904" s="10"/>
    </row>
    <row r="1905">
      <c r="B1905" s="11"/>
      <c r="C1905" s="12"/>
      <c r="D1905" s="12"/>
      <c r="E1905" s="13"/>
      <c r="G1905" s="17"/>
      <c r="J1905" s="10"/>
    </row>
    <row r="1906">
      <c r="B1906" s="14"/>
      <c r="C1906" s="15"/>
      <c r="D1906" s="15"/>
      <c r="E1906" s="16"/>
      <c r="G1906" s="17"/>
      <c r="J1906" s="10"/>
    </row>
    <row r="1907">
      <c r="B1907" s="11"/>
      <c r="C1907" s="12"/>
      <c r="D1907" s="12"/>
      <c r="E1907" s="13"/>
      <c r="G1907" s="17"/>
      <c r="J1907" s="10"/>
    </row>
    <row r="1908">
      <c r="B1908" s="14"/>
      <c r="C1908" s="15"/>
      <c r="D1908" s="15"/>
      <c r="E1908" s="16"/>
      <c r="G1908" s="17"/>
      <c r="J1908" s="10"/>
    </row>
    <row r="1909">
      <c r="B1909" s="11"/>
      <c r="C1909" s="12"/>
      <c r="D1909" s="12"/>
      <c r="E1909" s="13"/>
      <c r="G1909" s="17"/>
      <c r="J1909" s="10"/>
    </row>
    <row r="1910">
      <c r="B1910" s="14"/>
      <c r="C1910" s="15"/>
      <c r="D1910" s="15"/>
      <c r="E1910" s="16"/>
      <c r="G1910" s="17"/>
      <c r="J1910" s="10"/>
    </row>
    <row r="1911">
      <c r="B1911" s="11"/>
      <c r="C1911" s="12"/>
      <c r="D1911" s="12"/>
      <c r="E1911" s="13"/>
      <c r="G1911" s="17"/>
      <c r="J1911" s="10"/>
    </row>
    <row r="1912">
      <c r="B1912" s="14"/>
      <c r="C1912" s="15"/>
      <c r="D1912" s="15"/>
      <c r="E1912" s="16"/>
      <c r="G1912" s="17"/>
      <c r="J1912" s="10"/>
    </row>
    <row r="1913">
      <c r="B1913" s="11"/>
      <c r="C1913" s="12"/>
      <c r="D1913" s="12"/>
      <c r="E1913" s="13"/>
      <c r="G1913" s="17"/>
      <c r="J1913" s="10"/>
    </row>
    <row r="1914">
      <c r="B1914" s="14"/>
      <c r="C1914" s="15"/>
      <c r="D1914" s="15"/>
      <c r="E1914" s="16"/>
      <c r="G1914" s="17"/>
      <c r="J1914" s="10"/>
    </row>
    <row r="1915">
      <c r="B1915" s="11"/>
      <c r="C1915" s="12"/>
      <c r="D1915" s="12"/>
      <c r="E1915" s="13"/>
      <c r="G1915" s="17"/>
      <c r="J1915" s="10"/>
    </row>
    <row r="1916">
      <c r="B1916" s="14"/>
      <c r="C1916" s="15"/>
      <c r="D1916" s="15"/>
      <c r="E1916" s="16"/>
      <c r="G1916" s="17"/>
      <c r="J1916" s="10"/>
    </row>
    <row r="1917">
      <c r="B1917" s="11"/>
      <c r="C1917" s="12"/>
      <c r="D1917" s="12"/>
      <c r="E1917" s="13"/>
      <c r="G1917" s="17"/>
      <c r="J1917" s="10"/>
    </row>
    <row r="1918">
      <c r="B1918" s="14"/>
      <c r="C1918" s="15"/>
      <c r="D1918" s="15"/>
      <c r="E1918" s="16"/>
      <c r="G1918" s="17"/>
      <c r="J1918" s="10"/>
    </row>
    <row r="1919">
      <c r="B1919" s="11"/>
      <c r="C1919" s="12"/>
      <c r="D1919" s="12"/>
      <c r="E1919" s="13"/>
      <c r="G1919" s="17"/>
      <c r="J1919" s="10"/>
    </row>
    <row r="1920">
      <c r="B1920" s="14"/>
      <c r="C1920" s="15"/>
      <c r="D1920" s="15"/>
      <c r="E1920" s="16"/>
      <c r="G1920" s="17"/>
      <c r="J1920" s="10"/>
    </row>
    <row r="1921">
      <c r="B1921" s="11"/>
      <c r="C1921" s="12"/>
      <c r="D1921" s="12"/>
      <c r="E1921" s="13"/>
      <c r="G1921" s="17"/>
      <c r="J1921" s="10"/>
    </row>
    <row r="1922">
      <c r="B1922" s="14"/>
      <c r="C1922" s="15"/>
      <c r="D1922" s="15"/>
      <c r="E1922" s="16"/>
      <c r="G1922" s="17"/>
      <c r="J1922" s="10"/>
    </row>
    <row r="1923">
      <c r="B1923" s="11"/>
      <c r="C1923" s="12"/>
      <c r="D1923" s="12"/>
      <c r="E1923" s="13"/>
      <c r="G1923" s="17"/>
      <c r="J1923" s="10"/>
    </row>
    <row r="1924">
      <c r="B1924" s="14"/>
      <c r="C1924" s="15"/>
      <c r="D1924" s="15"/>
      <c r="E1924" s="16"/>
      <c r="G1924" s="17"/>
      <c r="J1924" s="10"/>
    </row>
    <row r="1925">
      <c r="B1925" s="11"/>
      <c r="C1925" s="12"/>
      <c r="D1925" s="12"/>
      <c r="E1925" s="13"/>
      <c r="G1925" s="17"/>
      <c r="J1925" s="10"/>
    </row>
    <row r="1926">
      <c r="B1926" s="14"/>
      <c r="C1926" s="15"/>
      <c r="D1926" s="15"/>
      <c r="E1926" s="16"/>
      <c r="G1926" s="17"/>
      <c r="J1926" s="10"/>
    </row>
    <row r="1927">
      <c r="B1927" s="11"/>
      <c r="C1927" s="12"/>
      <c r="D1927" s="12"/>
      <c r="E1927" s="13"/>
      <c r="G1927" s="17"/>
      <c r="J1927" s="10"/>
    </row>
    <row r="1928">
      <c r="B1928" s="14"/>
      <c r="C1928" s="15"/>
      <c r="D1928" s="15"/>
      <c r="E1928" s="16"/>
      <c r="G1928" s="17"/>
      <c r="J1928" s="10"/>
    </row>
    <row r="1929">
      <c r="B1929" s="11"/>
      <c r="C1929" s="12"/>
      <c r="D1929" s="12"/>
      <c r="E1929" s="13"/>
      <c r="G1929" s="17"/>
      <c r="J1929" s="10"/>
    </row>
    <row r="1930">
      <c r="B1930" s="14"/>
      <c r="C1930" s="15"/>
      <c r="D1930" s="15"/>
      <c r="E1930" s="16"/>
      <c r="G1930" s="17"/>
      <c r="J1930" s="10"/>
    </row>
    <row r="1931">
      <c r="B1931" s="11"/>
      <c r="C1931" s="12"/>
      <c r="D1931" s="12"/>
      <c r="E1931" s="13"/>
      <c r="G1931" s="17"/>
      <c r="J1931" s="10"/>
    </row>
    <row r="1932">
      <c r="B1932" s="14"/>
      <c r="C1932" s="15"/>
      <c r="D1932" s="15"/>
      <c r="E1932" s="16"/>
      <c r="G1932" s="17"/>
      <c r="J1932" s="10"/>
    </row>
    <row r="1933">
      <c r="B1933" s="11"/>
      <c r="C1933" s="12"/>
      <c r="D1933" s="12"/>
      <c r="E1933" s="13"/>
      <c r="G1933" s="17"/>
      <c r="J1933" s="10"/>
    </row>
    <row r="1934">
      <c r="B1934" s="14"/>
      <c r="C1934" s="15"/>
      <c r="D1934" s="15"/>
      <c r="E1934" s="16"/>
      <c r="G1934" s="17"/>
      <c r="J1934" s="10"/>
    </row>
    <row r="1935">
      <c r="B1935" s="11"/>
      <c r="C1935" s="12"/>
      <c r="D1935" s="12"/>
      <c r="E1935" s="13"/>
      <c r="G1935" s="17"/>
      <c r="J1935" s="10"/>
    </row>
    <row r="1936">
      <c r="B1936" s="14"/>
      <c r="C1936" s="15"/>
      <c r="D1936" s="15"/>
      <c r="E1936" s="16"/>
      <c r="G1936" s="17"/>
      <c r="J1936" s="10"/>
    </row>
    <row r="1937">
      <c r="B1937" s="11"/>
      <c r="C1937" s="12"/>
      <c r="D1937" s="12"/>
      <c r="E1937" s="13"/>
      <c r="G1937" s="17"/>
      <c r="J1937" s="10"/>
    </row>
    <row r="1938">
      <c r="B1938" s="14"/>
      <c r="C1938" s="15"/>
      <c r="D1938" s="15"/>
      <c r="E1938" s="16"/>
      <c r="G1938" s="17"/>
      <c r="J1938" s="10"/>
    </row>
    <row r="1939">
      <c r="B1939" s="11"/>
      <c r="C1939" s="12"/>
      <c r="D1939" s="12"/>
      <c r="E1939" s="13"/>
      <c r="G1939" s="17"/>
      <c r="J1939" s="10"/>
    </row>
    <row r="1940">
      <c r="B1940" s="14"/>
      <c r="C1940" s="15"/>
      <c r="D1940" s="15"/>
      <c r="E1940" s="16"/>
      <c r="G1940" s="17"/>
      <c r="J1940" s="10"/>
    </row>
    <row r="1941">
      <c r="B1941" s="11"/>
      <c r="C1941" s="12"/>
      <c r="D1941" s="12"/>
      <c r="E1941" s="13"/>
      <c r="G1941" s="17"/>
      <c r="J1941" s="10"/>
    </row>
    <row r="1942">
      <c r="B1942" s="14"/>
      <c r="C1942" s="15"/>
      <c r="D1942" s="15"/>
      <c r="E1942" s="16"/>
      <c r="G1942" s="17"/>
      <c r="J1942" s="10"/>
    </row>
    <row r="1943">
      <c r="B1943" s="11"/>
      <c r="C1943" s="12"/>
      <c r="D1943" s="12"/>
      <c r="E1943" s="13"/>
      <c r="G1943" s="17"/>
      <c r="J1943" s="10"/>
    </row>
    <row r="1944">
      <c r="B1944" s="14"/>
      <c r="C1944" s="15"/>
      <c r="D1944" s="15"/>
      <c r="E1944" s="16"/>
      <c r="G1944" s="17"/>
      <c r="J1944" s="10"/>
    </row>
    <row r="1945">
      <c r="B1945" s="11"/>
      <c r="C1945" s="12"/>
      <c r="D1945" s="12"/>
      <c r="E1945" s="13"/>
      <c r="G1945" s="17"/>
      <c r="J1945" s="10"/>
    </row>
    <row r="1946">
      <c r="B1946" s="14"/>
      <c r="C1946" s="15"/>
      <c r="D1946" s="15"/>
      <c r="E1946" s="16"/>
      <c r="G1946" s="17"/>
      <c r="J1946" s="10"/>
    </row>
    <row r="1947">
      <c r="B1947" s="11"/>
      <c r="C1947" s="12"/>
      <c r="D1947" s="12"/>
      <c r="E1947" s="13"/>
      <c r="G1947" s="17"/>
      <c r="J1947" s="10"/>
    </row>
    <row r="1948">
      <c r="B1948" s="14"/>
      <c r="C1948" s="15"/>
      <c r="D1948" s="15"/>
      <c r="E1948" s="16"/>
      <c r="G1948" s="17"/>
      <c r="J1948" s="10"/>
    </row>
    <row r="1949">
      <c r="B1949" s="11"/>
      <c r="C1949" s="12"/>
      <c r="D1949" s="12"/>
      <c r="E1949" s="13"/>
      <c r="G1949" s="17"/>
      <c r="J1949" s="10"/>
    </row>
    <row r="1950">
      <c r="B1950" s="14"/>
      <c r="C1950" s="15"/>
      <c r="D1950" s="15"/>
      <c r="E1950" s="16"/>
      <c r="G1950" s="17"/>
      <c r="J1950" s="10"/>
    </row>
    <row r="1951">
      <c r="B1951" s="11"/>
      <c r="C1951" s="12"/>
      <c r="D1951" s="12"/>
      <c r="E1951" s="13"/>
      <c r="G1951" s="17"/>
      <c r="J1951" s="10"/>
    </row>
    <row r="1952">
      <c r="B1952" s="14"/>
      <c r="C1952" s="15"/>
      <c r="D1952" s="15"/>
      <c r="E1952" s="16"/>
      <c r="G1952" s="17"/>
      <c r="J1952" s="10"/>
    </row>
    <row r="1953">
      <c r="B1953" s="11"/>
      <c r="C1953" s="12"/>
      <c r="D1953" s="12"/>
      <c r="E1953" s="13"/>
      <c r="G1953" s="17"/>
      <c r="J1953" s="10"/>
    </row>
    <row r="1954">
      <c r="B1954" s="14"/>
      <c r="C1954" s="15"/>
      <c r="D1954" s="15"/>
      <c r="E1954" s="16"/>
      <c r="G1954" s="17"/>
      <c r="J1954" s="10"/>
    </row>
    <row r="1955">
      <c r="B1955" s="11"/>
      <c r="C1955" s="12"/>
      <c r="D1955" s="12"/>
      <c r="E1955" s="13"/>
      <c r="G1955" s="17"/>
      <c r="J1955" s="10"/>
    </row>
    <row r="1956">
      <c r="B1956" s="14"/>
      <c r="C1956" s="15"/>
      <c r="D1956" s="15"/>
      <c r="E1956" s="16"/>
      <c r="G1956" s="17"/>
      <c r="J1956" s="10"/>
    </row>
    <row r="1957">
      <c r="B1957" s="11"/>
      <c r="C1957" s="12"/>
      <c r="D1957" s="12"/>
      <c r="E1957" s="13"/>
      <c r="G1957" s="17"/>
      <c r="J1957" s="10"/>
    </row>
    <row r="1958">
      <c r="B1958" s="14"/>
      <c r="C1958" s="15"/>
      <c r="D1958" s="15"/>
      <c r="E1958" s="16"/>
      <c r="G1958" s="17"/>
      <c r="J1958" s="10"/>
    </row>
    <row r="1959">
      <c r="B1959" s="11"/>
      <c r="C1959" s="12"/>
      <c r="D1959" s="12"/>
      <c r="E1959" s="13"/>
      <c r="G1959" s="17"/>
      <c r="J1959" s="10"/>
    </row>
    <row r="1960">
      <c r="B1960" s="14"/>
      <c r="C1960" s="15"/>
      <c r="D1960" s="15"/>
      <c r="E1960" s="16"/>
      <c r="G1960" s="17"/>
      <c r="J1960" s="10"/>
    </row>
    <row r="1961">
      <c r="B1961" s="11"/>
      <c r="C1961" s="12"/>
      <c r="D1961" s="12"/>
      <c r="E1961" s="13"/>
      <c r="G1961" s="17"/>
      <c r="J1961" s="10"/>
    </row>
    <row r="1962">
      <c r="B1962" s="14"/>
      <c r="C1962" s="15"/>
      <c r="D1962" s="15"/>
      <c r="E1962" s="16"/>
      <c r="G1962" s="17"/>
      <c r="J1962" s="10"/>
    </row>
    <row r="1963">
      <c r="B1963" s="11"/>
      <c r="C1963" s="12"/>
      <c r="D1963" s="12"/>
      <c r="E1963" s="13"/>
      <c r="G1963" s="17"/>
      <c r="J1963" s="10"/>
    </row>
    <row r="1964">
      <c r="B1964" s="14"/>
      <c r="C1964" s="15"/>
      <c r="D1964" s="15"/>
      <c r="E1964" s="16"/>
      <c r="G1964" s="17"/>
      <c r="J1964" s="10"/>
    </row>
    <row r="1965">
      <c r="B1965" s="11"/>
      <c r="C1965" s="12"/>
      <c r="D1965" s="12"/>
      <c r="E1965" s="13"/>
      <c r="G1965" s="17"/>
      <c r="J1965" s="10"/>
    </row>
    <row r="1966">
      <c r="B1966" s="14"/>
      <c r="C1966" s="15"/>
      <c r="D1966" s="15"/>
      <c r="E1966" s="16"/>
      <c r="G1966" s="17"/>
      <c r="J1966" s="10"/>
    </row>
    <row r="1967">
      <c r="B1967" s="11"/>
      <c r="C1967" s="12"/>
      <c r="D1967" s="12"/>
      <c r="E1967" s="13"/>
      <c r="G1967" s="17"/>
      <c r="J1967" s="10"/>
    </row>
    <row r="1968">
      <c r="B1968" s="14"/>
      <c r="C1968" s="15"/>
      <c r="D1968" s="15"/>
      <c r="E1968" s="16"/>
      <c r="G1968" s="17"/>
      <c r="J1968" s="10"/>
    </row>
    <row r="1969">
      <c r="B1969" s="11"/>
      <c r="C1969" s="12"/>
      <c r="D1969" s="12"/>
      <c r="E1969" s="13"/>
      <c r="G1969" s="17"/>
      <c r="J1969" s="10"/>
    </row>
    <row r="1970">
      <c r="B1970" s="14"/>
      <c r="C1970" s="15"/>
      <c r="D1970" s="15"/>
      <c r="E1970" s="16"/>
      <c r="G1970" s="17"/>
      <c r="J1970" s="10"/>
    </row>
    <row r="1971">
      <c r="B1971" s="11"/>
      <c r="C1971" s="12"/>
      <c r="D1971" s="12"/>
      <c r="E1971" s="13"/>
      <c r="G1971" s="17"/>
      <c r="J1971" s="10"/>
    </row>
    <row r="1972">
      <c r="B1972" s="14"/>
      <c r="C1972" s="15"/>
      <c r="D1972" s="15"/>
      <c r="E1972" s="16"/>
      <c r="G1972" s="17"/>
      <c r="J1972" s="10"/>
    </row>
    <row r="1973">
      <c r="B1973" s="11"/>
      <c r="C1973" s="12"/>
      <c r="D1973" s="12"/>
      <c r="E1973" s="13"/>
      <c r="G1973" s="17"/>
      <c r="J1973" s="10"/>
    </row>
    <row r="1974">
      <c r="B1974" s="14"/>
      <c r="C1974" s="15"/>
      <c r="D1974" s="15"/>
      <c r="E1974" s="16"/>
      <c r="G1974" s="17"/>
      <c r="J1974" s="10"/>
    </row>
    <row r="1975">
      <c r="B1975" s="11"/>
      <c r="C1975" s="12"/>
      <c r="D1975" s="12"/>
      <c r="E1975" s="13"/>
      <c r="G1975" s="17"/>
      <c r="J1975" s="10"/>
    </row>
    <row r="1976">
      <c r="B1976" s="14"/>
      <c r="C1976" s="15"/>
      <c r="D1976" s="15"/>
      <c r="E1976" s="16"/>
      <c r="G1976" s="17"/>
      <c r="J1976" s="10"/>
    </row>
    <row r="1977">
      <c r="B1977" s="11"/>
      <c r="C1977" s="12"/>
      <c r="D1977" s="12"/>
      <c r="E1977" s="13"/>
      <c r="G1977" s="17"/>
      <c r="J1977" s="10"/>
    </row>
    <row r="1978">
      <c r="B1978" s="14"/>
      <c r="C1978" s="15"/>
      <c r="D1978" s="15"/>
      <c r="E1978" s="16"/>
      <c r="G1978" s="17"/>
      <c r="J1978" s="10"/>
    </row>
    <row r="1979">
      <c r="B1979" s="11"/>
      <c r="C1979" s="12"/>
      <c r="D1979" s="12"/>
      <c r="E1979" s="13"/>
      <c r="G1979" s="17"/>
      <c r="J1979" s="10"/>
    </row>
    <row r="1980">
      <c r="B1980" s="14"/>
      <c r="C1980" s="15"/>
      <c r="D1980" s="15"/>
      <c r="E1980" s="16"/>
      <c r="G1980" s="17"/>
      <c r="J1980" s="10"/>
    </row>
    <row r="1981">
      <c r="B1981" s="11"/>
      <c r="C1981" s="12"/>
      <c r="D1981" s="12"/>
      <c r="E1981" s="13"/>
      <c r="G1981" s="17"/>
      <c r="J1981" s="10"/>
    </row>
    <row r="1982">
      <c r="B1982" s="14"/>
      <c r="C1982" s="15"/>
      <c r="D1982" s="15"/>
      <c r="E1982" s="16"/>
      <c r="G1982" s="17"/>
      <c r="J1982" s="10"/>
    </row>
    <row r="1983">
      <c r="B1983" s="11"/>
      <c r="C1983" s="12"/>
      <c r="D1983" s="12"/>
      <c r="E1983" s="13"/>
      <c r="G1983" s="17"/>
      <c r="J1983" s="10"/>
    </row>
    <row r="1984">
      <c r="B1984" s="14"/>
      <c r="C1984" s="15"/>
      <c r="D1984" s="15"/>
      <c r="E1984" s="16"/>
      <c r="G1984" s="17"/>
      <c r="J1984" s="10"/>
    </row>
    <row r="1985">
      <c r="B1985" s="11"/>
      <c r="C1985" s="12"/>
      <c r="D1985" s="12"/>
      <c r="E1985" s="13"/>
      <c r="G1985" s="17"/>
      <c r="J1985" s="10"/>
    </row>
    <row r="1986">
      <c r="B1986" s="14"/>
      <c r="C1986" s="15"/>
      <c r="D1986" s="15"/>
      <c r="E1986" s="16"/>
      <c r="G1986" s="17"/>
      <c r="J1986" s="10"/>
    </row>
    <row r="1987">
      <c r="B1987" s="11"/>
      <c r="C1987" s="12"/>
      <c r="D1987" s="12"/>
      <c r="E1987" s="13"/>
      <c r="G1987" s="17"/>
      <c r="J1987" s="10"/>
    </row>
    <row r="1988">
      <c r="B1988" s="14"/>
      <c r="C1988" s="15"/>
      <c r="D1988" s="15"/>
      <c r="E1988" s="16"/>
      <c r="G1988" s="17"/>
      <c r="J1988" s="10"/>
    </row>
    <row r="1989">
      <c r="B1989" s="11"/>
      <c r="C1989" s="12"/>
      <c r="D1989" s="12"/>
      <c r="E1989" s="13"/>
      <c r="G1989" s="17"/>
      <c r="J1989" s="10"/>
    </row>
    <row r="1990">
      <c r="B1990" s="14"/>
      <c r="C1990" s="15"/>
      <c r="D1990" s="15"/>
      <c r="E1990" s="16"/>
      <c r="G1990" s="17"/>
      <c r="J1990" s="10"/>
    </row>
    <row r="1991">
      <c r="B1991" s="11"/>
      <c r="C1991" s="12"/>
      <c r="D1991" s="12"/>
      <c r="E1991" s="13"/>
      <c r="G1991" s="17"/>
      <c r="J1991" s="10"/>
    </row>
    <row r="1992">
      <c r="B1992" s="14"/>
      <c r="C1992" s="15"/>
      <c r="D1992" s="15"/>
      <c r="E1992" s="16"/>
      <c r="G1992" s="17"/>
      <c r="J1992" s="10"/>
    </row>
    <row r="1993">
      <c r="B1993" s="11"/>
      <c r="C1993" s="12"/>
      <c r="D1993" s="12"/>
      <c r="E1993" s="13"/>
      <c r="G1993" s="17"/>
      <c r="J1993" s="10"/>
    </row>
    <row r="1994">
      <c r="B1994" s="14"/>
      <c r="C1994" s="15"/>
      <c r="D1994" s="15"/>
      <c r="E1994" s="16"/>
      <c r="G1994" s="17"/>
      <c r="J1994" s="10"/>
    </row>
    <row r="1995">
      <c r="B1995" s="11"/>
      <c r="C1995" s="12"/>
      <c r="D1995" s="12"/>
      <c r="E1995" s="13"/>
      <c r="G1995" s="17"/>
      <c r="J1995" s="10"/>
    </row>
    <row r="1996">
      <c r="B1996" s="14"/>
      <c r="C1996" s="15"/>
      <c r="D1996" s="15"/>
      <c r="E1996" s="16"/>
      <c r="G1996" s="17"/>
      <c r="J1996" s="10"/>
    </row>
    <row r="1997">
      <c r="B1997" s="11"/>
      <c r="C1997" s="12"/>
      <c r="D1997" s="12"/>
      <c r="E1997" s="13"/>
      <c r="G1997" s="17"/>
      <c r="J1997" s="10"/>
    </row>
    <row r="1998">
      <c r="B1998" s="14"/>
      <c r="C1998" s="15"/>
      <c r="D1998" s="15"/>
      <c r="E1998" s="16"/>
      <c r="G1998" s="17"/>
      <c r="J1998" s="10"/>
    </row>
    <row r="1999">
      <c r="B1999" s="11"/>
      <c r="C1999" s="12"/>
      <c r="D1999" s="12"/>
      <c r="E1999" s="13"/>
      <c r="G1999" s="17"/>
      <c r="J1999" s="10"/>
    </row>
    <row r="2000">
      <c r="B2000" s="14"/>
      <c r="C2000" s="15"/>
      <c r="D2000" s="15"/>
      <c r="E2000" s="16"/>
      <c r="G2000" s="17"/>
      <c r="J2000" s="10"/>
    </row>
    <row r="2001">
      <c r="B2001" s="11"/>
      <c r="C2001" s="12"/>
      <c r="D2001" s="12"/>
      <c r="E2001" s="13"/>
      <c r="G2001" s="17"/>
      <c r="J2001" s="10"/>
    </row>
    <row r="2002">
      <c r="B2002" s="14"/>
      <c r="C2002" s="15"/>
      <c r="D2002" s="15"/>
      <c r="E2002" s="16"/>
      <c r="G2002" s="17"/>
      <c r="J2002" s="10"/>
    </row>
    <row r="2003">
      <c r="B2003" s="11"/>
      <c r="C2003" s="12"/>
      <c r="D2003" s="12"/>
      <c r="E2003" s="13"/>
      <c r="G2003" s="17"/>
      <c r="J2003" s="10"/>
    </row>
    <row r="2004">
      <c r="B2004" s="14"/>
      <c r="C2004" s="15"/>
      <c r="D2004" s="15"/>
      <c r="E2004" s="16"/>
      <c r="G2004" s="17"/>
      <c r="J2004" s="10"/>
    </row>
    <row r="2005">
      <c r="B2005" s="11"/>
      <c r="C2005" s="12"/>
      <c r="D2005" s="12"/>
      <c r="E2005" s="13"/>
      <c r="G2005" s="17"/>
      <c r="J2005" s="10"/>
    </row>
    <row r="2006">
      <c r="B2006" s="14"/>
      <c r="C2006" s="15"/>
      <c r="D2006" s="15"/>
      <c r="E2006" s="16"/>
      <c r="G2006" s="17"/>
      <c r="J2006" s="10"/>
    </row>
    <row r="2007">
      <c r="B2007" s="11"/>
      <c r="C2007" s="12"/>
      <c r="D2007" s="12"/>
      <c r="E2007" s="13"/>
      <c r="G2007" s="17"/>
      <c r="J2007" s="10"/>
    </row>
    <row r="2008">
      <c r="B2008" s="14"/>
      <c r="C2008" s="15"/>
      <c r="D2008" s="15"/>
      <c r="E2008" s="16"/>
      <c r="G2008" s="17"/>
      <c r="J2008" s="10"/>
    </row>
    <row r="2009">
      <c r="B2009" s="11"/>
      <c r="C2009" s="12"/>
      <c r="D2009" s="12"/>
      <c r="E2009" s="13"/>
      <c r="G2009" s="17"/>
      <c r="J2009" s="10"/>
    </row>
    <row r="2010">
      <c r="B2010" s="14"/>
      <c r="C2010" s="15"/>
      <c r="D2010" s="15"/>
      <c r="E2010" s="16"/>
      <c r="G2010" s="17"/>
      <c r="J2010" s="10"/>
    </row>
    <row r="2011">
      <c r="B2011" s="11"/>
      <c r="C2011" s="12"/>
      <c r="D2011" s="12"/>
      <c r="E2011" s="13"/>
      <c r="G2011" s="17"/>
      <c r="J2011" s="10"/>
    </row>
    <row r="2012">
      <c r="B2012" s="14"/>
      <c r="C2012" s="15"/>
      <c r="D2012" s="15"/>
      <c r="E2012" s="16"/>
      <c r="G2012" s="17"/>
      <c r="J2012" s="10"/>
    </row>
    <row r="2013">
      <c r="B2013" s="11"/>
      <c r="C2013" s="12"/>
      <c r="D2013" s="12"/>
      <c r="E2013" s="13"/>
      <c r="G2013" s="17"/>
      <c r="J2013" s="10"/>
    </row>
    <row r="2014">
      <c r="B2014" s="14"/>
      <c r="C2014" s="15"/>
      <c r="D2014" s="15"/>
      <c r="E2014" s="16"/>
      <c r="G2014" s="17"/>
      <c r="J2014" s="10"/>
    </row>
    <row r="2015">
      <c r="B2015" s="11"/>
      <c r="C2015" s="12"/>
      <c r="D2015" s="12"/>
      <c r="E2015" s="13"/>
      <c r="G2015" s="17"/>
      <c r="J2015" s="10"/>
    </row>
    <row r="2016">
      <c r="B2016" s="14"/>
      <c r="C2016" s="15"/>
      <c r="D2016" s="15"/>
      <c r="E2016" s="16"/>
      <c r="G2016" s="17"/>
      <c r="J2016" s="10"/>
    </row>
    <row r="2017">
      <c r="B2017" s="11"/>
      <c r="C2017" s="12"/>
      <c r="D2017" s="12"/>
      <c r="E2017" s="13"/>
      <c r="G2017" s="17"/>
      <c r="J2017" s="10"/>
    </row>
    <row r="2018">
      <c r="B2018" s="14"/>
      <c r="C2018" s="15"/>
      <c r="D2018" s="15"/>
      <c r="E2018" s="16"/>
      <c r="G2018" s="17"/>
      <c r="J2018" s="10"/>
    </row>
    <row r="2019">
      <c r="B2019" s="11"/>
      <c r="C2019" s="12"/>
      <c r="D2019" s="12"/>
      <c r="E2019" s="13"/>
      <c r="G2019" s="17"/>
      <c r="J2019" s="10"/>
    </row>
    <row r="2020">
      <c r="B2020" s="14"/>
      <c r="C2020" s="15"/>
      <c r="D2020" s="15"/>
      <c r="E2020" s="16"/>
      <c r="G2020" s="17"/>
      <c r="J2020" s="10"/>
    </row>
    <row r="2021">
      <c r="B2021" s="11"/>
      <c r="C2021" s="12"/>
      <c r="D2021" s="12"/>
      <c r="E2021" s="13"/>
      <c r="G2021" s="17"/>
      <c r="J2021" s="10"/>
    </row>
    <row r="2022">
      <c r="B2022" s="14"/>
      <c r="C2022" s="15"/>
      <c r="D2022" s="15"/>
      <c r="E2022" s="16"/>
      <c r="G2022" s="17"/>
      <c r="J2022" s="10"/>
    </row>
    <row r="2023">
      <c r="B2023" s="11"/>
      <c r="C2023" s="12"/>
      <c r="D2023" s="12"/>
      <c r="E2023" s="13"/>
      <c r="G2023" s="17"/>
      <c r="J2023" s="10"/>
    </row>
    <row r="2024">
      <c r="B2024" s="14"/>
      <c r="C2024" s="15"/>
      <c r="D2024" s="15"/>
      <c r="E2024" s="16"/>
      <c r="G2024" s="17"/>
      <c r="J2024" s="10"/>
    </row>
    <row r="2025">
      <c r="B2025" s="11"/>
      <c r="C2025" s="12"/>
      <c r="D2025" s="12"/>
      <c r="E2025" s="13"/>
      <c r="G2025" s="17"/>
      <c r="J2025" s="10"/>
    </row>
    <row r="2026">
      <c r="B2026" s="14"/>
      <c r="C2026" s="15"/>
      <c r="D2026" s="15"/>
      <c r="E2026" s="16"/>
      <c r="G2026" s="17"/>
      <c r="J2026" s="10"/>
    </row>
    <row r="2027">
      <c r="B2027" s="11"/>
      <c r="C2027" s="12"/>
      <c r="D2027" s="12"/>
      <c r="E2027" s="13"/>
      <c r="G2027" s="17"/>
      <c r="J2027" s="10"/>
    </row>
    <row r="2028">
      <c r="B2028" s="14"/>
      <c r="C2028" s="15"/>
      <c r="D2028" s="15"/>
      <c r="E2028" s="16"/>
      <c r="G2028" s="17"/>
      <c r="J2028" s="10"/>
    </row>
    <row r="2029">
      <c r="B2029" s="11"/>
      <c r="C2029" s="12"/>
      <c r="D2029" s="12"/>
      <c r="E2029" s="13"/>
      <c r="G2029" s="17"/>
      <c r="J2029" s="10"/>
    </row>
    <row r="2030">
      <c r="B2030" s="14"/>
      <c r="C2030" s="15"/>
      <c r="D2030" s="15"/>
      <c r="E2030" s="16"/>
      <c r="G2030" s="17"/>
      <c r="J2030" s="10"/>
    </row>
    <row r="2031">
      <c r="B2031" s="11"/>
      <c r="C2031" s="12"/>
      <c r="D2031" s="12"/>
      <c r="E2031" s="13"/>
      <c r="G2031" s="17"/>
      <c r="J2031" s="10"/>
    </row>
    <row r="2032">
      <c r="B2032" s="14"/>
      <c r="C2032" s="15"/>
      <c r="D2032" s="15"/>
      <c r="E2032" s="16"/>
      <c r="G2032" s="17"/>
      <c r="J2032" s="10"/>
    </row>
    <row r="2033">
      <c r="B2033" s="11"/>
      <c r="C2033" s="12"/>
      <c r="D2033" s="12"/>
      <c r="E2033" s="13"/>
      <c r="G2033" s="17"/>
      <c r="J2033" s="10"/>
    </row>
    <row r="2034">
      <c r="B2034" s="14"/>
      <c r="C2034" s="15"/>
      <c r="D2034" s="15"/>
      <c r="E2034" s="16"/>
      <c r="G2034" s="17"/>
      <c r="J2034" s="10"/>
    </row>
    <row r="2035">
      <c r="B2035" s="11"/>
      <c r="C2035" s="12"/>
      <c r="D2035" s="12"/>
      <c r="E2035" s="13"/>
      <c r="G2035" s="17"/>
      <c r="J2035" s="10"/>
    </row>
    <row r="2036">
      <c r="B2036" s="14"/>
      <c r="C2036" s="15"/>
      <c r="D2036" s="15"/>
      <c r="E2036" s="16"/>
      <c r="G2036" s="17"/>
      <c r="J2036" s="10"/>
    </row>
    <row r="2037">
      <c r="B2037" s="11"/>
      <c r="C2037" s="12"/>
      <c r="D2037" s="12"/>
      <c r="E2037" s="13"/>
      <c r="G2037" s="17"/>
      <c r="J2037" s="10"/>
    </row>
    <row r="2038">
      <c r="B2038" s="14"/>
      <c r="C2038" s="15"/>
      <c r="D2038" s="15"/>
      <c r="E2038" s="16"/>
      <c r="G2038" s="17"/>
      <c r="J2038" s="10"/>
    </row>
    <row r="2039">
      <c r="B2039" s="11"/>
      <c r="C2039" s="12"/>
      <c r="D2039" s="12"/>
      <c r="E2039" s="13"/>
      <c r="G2039" s="17"/>
      <c r="J2039" s="10"/>
    </row>
    <row r="2040">
      <c r="B2040" s="14"/>
      <c r="C2040" s="15"/>
      <c r="D2040" s="15"/>
      <c r="E2040" s="16"/>
      <c r="G2040" s="17"/>
      <c r="J2040" s="10"/>
    </row>
    <row r="2041">
      <c r="B2041" s="11"/>
      <c r="C2041" s="12"/>
      <c r="D2041" s="12"/>
      <c r="E2041" s="13"/>
      <c r="G2041" s="17"/>
      <c r="J2041" s="10"/>
    </row>
    <row r="2042">
      <c r="B2042" s="14"/>
      <c r="C2042" s="15"/>
      <c r="D2042" s="15"/>
      <c r="E2042" s="16"/>
      <c r="G2042" s="17"/>
      <c r="J2042" s="10"/>
    </row>
    <row r="2043">
      <c r="B2043" s="11"/>
      <c r="C2043" s="12"/>
      <c r="D2043" s="12"/>
      <c r="E2043" s="13"/>
      <c r="G2043" s="17"/>
      <c r="J2043" s="10"/>
    </row>
    <row r="2044">
      <c r="B2044" s="14"/>
      <c r="C2044" s="15"/>
      <c r="D2044" s="15"/>
      <c r="E2044" s="16"/>
      <c r="G2044" s="17"/>
      <c r="J2044" s="10"/>
    </row>
    <row r="2045">
      <c r="B2045" s="11"/>
      <c r="C2045" s="12"/>
      <c r="D2045" s="12"/>
      <c r="E2045" s="13"/>
      <c r="G2045" s="17"/>
      <c r="J2045" s="10"/>
    </row>
    <row r="2046">
      <c r="B2046" s="14"/>
      <c r="C2046" s="15"/>
      <c r="D2046" s="15"/>
      <c r="E2046" s="16"/>
      <c r="G2046" s="17"/>
      <c r="J2046" s="10"/>
    </row>
    <row r="2047">
      <c r="B2047" s="11"/>
      <c r="C2047" s="12"/>
      <c r="D2047" s="12"/>
      <c r="E2047" s="13"/>
      <c r="G2047" s="17"/>
      <c r="J2047" s="10"/>
    </row>
    <row r="2048">
      <c r="B2048" s="14"/>
      <c r="C2048" s="15"/>
      <c r="D2048" s="15"/>
      <c r="E2048" s="16"/>
      <c r="G2048" s="17"/>
      <c r="J2048" s="10"/>
    </row>
    <row r="2049">
      <c r="B2049" s="11"/>
      <c r="C2049" s="12"/>
      <c r="D2049" s="12"/>
      <c r="E2049" s="13"/>
      <c r="G2049" s="17"/>
      <c r="J2049" s="10"/>
    </row>
    <row r="2050">
      <c r="B2050" s="14"/>
      <c r="C2050" s="15"/>
      <c r="D2050" s="15"/>
      <c r="E2050" s="16"/>
      <c r="G2050" s="17"/>
      <c r="J2050" s="10"/>
    </row>
    <row r="2051">
      <c r="B2051" s="11"/>
      <c r="C2051" s="12"/>
      <c r="D2051" s="12"/>
      <c r="E2051" s="13"/>
      <c r="G2051" s="17"/>
      <c r="J2051" s="10"/>
    </row>
    <row r="2052">
      <c r="B2052" s="14"/>
      <c r="C2052" s="15"/>
      <c r="D2052" s="15"/>
      <c r="E2052" s="16"/>
      <c r="G2052" s="17"/>
      <c r="J2052" s="10"/>
    </row>
    <row r="2053">
      <c r="B2053" s="11"/>
      <c r="C2053" s="12"/>
      <c r="D2053" s="12"/>
      <c r="E2053" s="13"/>
      <c r="G2053" s="17"/>
      <c r="J2053" s="10"/>
    </row>
    <row r="2054">
      <c r="B2054" s="14"/>
      <c r="C2054" s="15"/>
      <c r="D2054" s="15"/>
      <c r="E2054" s="16"/>
      <c r="G2054" s="17"/>
      <c r="J2054" s="10"/>
    </row>
    <row r="2055">
      <c r="B2055" s="11"/>
      <c r="C2055" s="12"/>
      <c r="D2055" s="12"/>
      <c r="E2055" s="13"/>
      <c r="G2055" s="17"/>
      <c r="J2055" s="10"/>
    </row>
    <row r="2056">
      <c r="B2056" s="14"/>
      <c r="C2056" s="15"/>
      <c r="D2056" s="15"/>
      <c r="E2056" s="16"/>
      <c r="G2056" s="17"/>
      <c r="J2056" s="10"/>
    </row>
    <row r="2057">
      <c r="B2057" s="11"/>
      <c r="C2057" s="12"/>
      <c r="D2057" s="12"/>
      <c r="E2057" s="13"/>
      <c r="G2057" s="17"/>
      <c r="J2057" s="10"/>
    </row>
    <row r="2058">
      <c r="B2058" s="14"/>
      <c r="C2058" s="15"/>
      <c r="D2058" s="15"/>
      <c r="E2058" s="16"/>
      <c r="G2058" s="17"/>
      <c r="J2058" s="10"/>
    </row>
    <row r="2059">
      <c r="B2059" s="11"/>
      <c r="C2059" s="12"/>
      <c r="D2059" s="12"/>
      <c r="E2059" s="13"/>
      <c r="G2059" s="17"/>
      <c r="J2059" s="10"/>
    </row>
    <row r="2060">
      <c r="B2060" s="14"/>
      <c r="C2060" s="15"/>
      <c r="D2060" s="15"/>
      <c r="E2060" s="16"/>
      <c r="G2060" s="17"/>
      <c r="J2060" s="10"/>
    </row>
    <row r="2061">
      <c r="B2061" s="11"/>
      <c r="C2061" s="12"/>
      <c r="D2061" s="12"/>
      <c r="E2061" s="13"/>
      <c r="G2061" s="17"/>
      <c r="J2061" s="10"/>
    </row>
    <row r="2062">
      <c r="B2062" s="14"/>
      <c r="C2062" s="15"/>
      <c r="D2062" s="15"/>
      <c r="E2062" s="16"/>
      <c r="G2062" s="17"/>
      <c r="J2062" s="10"/>
    </row>
    <row r="2063">
      <c r="B2063" s="11"/>
      <c r="C2063" s="12"/>
      <c r="D2063" s="12"/>
      <c r="E2063" s="13"/>
      <c r="G2063" s="17"/>
      <c r="J2063" s="10"/>
    </row>
    <row r="2064">
      <c r="B2064" s="14"/>
      <c r="C2064" s="15"/>
      <c r="D2064" s="15"/>
      <c r="E2064" s="16"/>
      <c r="G2064" s="17"/>
      <c r="J2064" s="10"/>
    </row>
    <row r="2065">
      <c r="B2065" s="11"/>
      <c r="C2065" s="12"/>
      <c r="D2065" s="12"/>
      <c r="E2065" s="13"/>
      <c r="G2065" s="17"/>
      <c r="J2065" s="10"/>
    </row>
    <row r="2066">
      <c r="B2066" s="14"/>
      <c r="C2066" s="15"/>
      <c r="D2066" s="15"/>
      <c r="E2066" s="16"/>
      <c r="G2066" s="17"/>
      <c r="J2066" s="10"/>
    </row>
    <row r="2067">
      <c r="B2067" s="11"/>
      <c r="C2067" s="12"/>
      <c r="D2067" s="12"/>
      <c r="E2067" s="13"/>
      <c r="G2067" s="17"/>
      <c r="J2067" s="10"/>
    </row>
    <row r="2068">
      <c r="B2068" s="14"/>
      <c r="C2068" s="15"/>
      <c r="D2068" s="15"/>
      <c r="E2068" s="16"/>
      <c r="G2068" s="17"/>
      <c r="J2068" s="10"/>
    </row>
    <row r="2069">
      <c r="B2069" s="11"/>
      <c r="C2069" s="12"/>
      <c r="D2069" s="12"/>
      <c r="E2069" s="13"/>
      <c r="G2069" s="17"/>
      <c r="J2069" s="10"/>
    </row>
    <row r="2070">
      <c r="B2070" s="14"/>
      <c r="C2070" s="15"/>
      <c r="D2070" s="15"/>
      <c r="E2070" s="16"/>
      <c r="G2070" s="17"/>
      <c r="J2070" s="10"/>
    </row>
    <row r="2071">
      <c r="B2071" s="11"/>
      <c r="C2071" s="12"/>
      <c r="D2071" s="12"/>
      <c r="E2071" s="13"/>
      <c r="G2071" s="17"/>
      <c r="J2071" s="10"/>
    </row>
    <row r="2072">
      <c r="B2072" s="14"/>
      <c r="C2072" s="15"/>
      <c r="D2072" s="15"/>
      <c r="E2072" s="16"/>
      <c r="G2072" s="17"/>
      <c r="J2072" s="10"/>
    </row>
    <row r="2073">
      <c r="B2073" s="11"/>
      <c r="C2073" s="12"/>
      <c r="D2073" s="12"/>
      <c r="E2073" s="13"/>
      <c r="G2073" s="17"/>
      <c r="J2073" s="10"/>
    </row>
    <row r="2074">
      <c r="B2074" s="14"/>
      <c r="C2074" s="15"/>
      <c r="D2074" s="15"/>
      <c r="E2074" s="16"/>
      <c r="G2074" s="17"/>
      <c r="J2074" s="10"/>
    </row>
    <row r="2075">
      <c r="B2075" s="11"/>
      <c r="C2075" s="12"/>
      <c r="D2075" s="12"/>
      <c r="E2075" s="13"/>
      <c r="G2075" s="17"/>
      <c r="J2075" s="10"/>
    </row>
    <row r="2076">
      <c r="B2076" s="14"/>
      <c r="C2076" s="15"/>
      <c r="D2076" s="15"/>
      <c r="E2076" s="16"/>
      <c r="G2076" s="17"/>
      <c r="J2076" s="10"/>
    </row>
    <row r="2077">
      <c r="B2077" s="11"/>
      <c r="C2077" s="12"/>
      <c r="D2077" s="12"/>
      <c r="E2077" s="13"/>
      <c r="G2077" s="17"/>
      <c r="J2077" s="10"/>
    </row>
    <row r="2078">
      <c r="B2078" s="14"/>
      <c r="C2078" s="15"/>
      <c r="D2078" s="15"/>
      <c r="E2078" s="16"/>
      <c r="G2078" s="17"/>
      <c r="J2078" s="10"/>
    </row>
    <row r="2079">
      <c r="B2079" s="11"/>
      <c r="C2079" s="12"/>
      <c r="D2079" s="12"/>
      <c r="E2079" s="13"/>
      <c r="G2079" s="17"/>
      <c r="J2079" s="10"/>
    </row>
    <row r="2080">
      <c r="B2080" s="14"/>
      <c r="C2080" s="15"/>
      <c r="D2080" s="15"/>
      <c r="E2080" s="16"/>
      <c r="G2080" s="17"/>
      <c r="J2080" s="10"/>
    </row>
    <row r="2081">
      <c r="B2081" s="11"/>
      <c r="C2081" s="12"/>
      <c r="D2081" s="12"/>
      <c r="E2081" s="13"/>
      <c r="G2081" s="17"/>
      <c r="J2081" s="10"/>
    </row>
    <row r="2082">
      <c r="B2082" s="14"/>
      <c r="C2082" s="15"/>
      <c r="D2082" s="15"/>
      <c r="E2082" s="16"/>
      <c r="G2082" s="17"/>
      <c r="J2082" s="10"/>
    </row>
    <row r="2083">
      <c r="B2083" s="11"/>
      <c r="C2083" s="12"/>
      <c r="D2083" s="12"/>
      <c r="E2083" s="13"/>
      <c r="G2083" s="17"/>
      <c r="J2083" s="10"/>
    </row>
    <row r="2084">
      <c r="B2084" s="14"/>
      <c r="C2084" s="15"/>
      <c r="D2084" s="15"/>
      <c r="E2084" s="16"/>
      <c r="G2084" s="17"/>
      <c r="J2084" s="10"/>
    </row>
    <row r="2085">
      <c r="B2085" s="11"/>
      <c r="C2085" s="12"/>
      <c r="D2085" s="12"/>
      <c r="E2085" s="13"/>
      <c r="G2085" s="17"/>
      <c r="J2085" s="10"/>
    </row>
    <row r="2086">
      <c r="B2086" s="14"/>
      <c r="C2086" s="15"/>
      <c r="D2086" s="15"/>
      <c r="E2086" s="16"/>
      <c r="G2086" s="17"/>
      <c r="J2086" s="10"/>
    </row>
    <row r="2087">
      <c r="B2087" s="11"/>
      <c r="C2087" s="12"/>
      <c r="D2087" s="12"/>
      <c r="E2087" s="13"/>
      <c r="G2087" s="17"/>
      <c r="J2087" s="10"/>
    </row>
    <row r="2088">
      <c r="B2088" s="14"/>
      <c r="C2088" s="15"/>
      <c r="D2088" s="15"/>
      <c r="E2088" s="16"/>
      <c r="G2088" s="17"/>
      <c r="J2088" s="10"/>
    </row>
    <row r="2089">
      <c r="B2089" s="11"/>
      <c r="C2089" s="12"/>
      <c r="D2089" s="12"/>
      <c r="E2089" s="13"/>
      <c r="G2089" s="17"/>
      <c r="J2089" s="10"/>
    </row>
    <row r="2090">
      <c r="B2090" s="14"/>
      <c r="C2090" s="15"/>
      <c r="D2090" s="15"/>
      <c r="E2090" s="16"/>
      <c r="G2090" s="17"/>
      <c r="J2090" s="10"/>
    </row>
    <row r="2091">
      <c r="B2091" s="11"/>
      <c r="C2091" s="12"/>
      <c r="D2091" s="12"/>
      <c r="E2091" s="13"/>
      <c r="G2091" s="17"/>
      <c r="J2091" s="10"/>
    </row>
    <row r="2092">
      <c r="B2092" s="14"/>
      <c r="C2092" s="15"/>
      <c r="D2092" s="15"/>
      <c r="E2092" s="16"/>
      <c r="G2092" s="17"/>
      <c r="J2092" s="10"/>
    </row>
    <row r="2093">
      <c r="B2093" s="11"/>
      <c r="C2093" s="12"/>
      <c r="D2093" s="12"/>
      <c r="E2093" s="13"/>
      <c r="G2093" s="17"/>
      <c r="J2093" s="10"/>
    </row>
    <row r="2094">
      <c r="B2094" s="14"/>
      <c r="C2094" s="15"/>
      <c r="D2094" s="15"/>
      <c r="E2094" s="16"/>
      <c r="G2094" s="17"/>
      <c r="J2094" s="10"/>
    </row>
    <row r="2095">
      <c r="B2095" s="11"/>
      <c r="C2095" s="12"/>
      <c r="D2095" s="12"/>
      <c r="E2095" s="13"/>
      <c r="G2095" s="17"/>
      <c r="J2095" s="10"/>
    </row>
    <row r="2096">
      <c r="B2096" s="14"/>
      <c r="C2096" s="15"/>
      <c r="D2096" s="15"/>
      <c r="E2096" s="16"/>
      <c r="G2096" s="17"/>
      <c r="J2096" s="10"/>
    </row>
    <row r="2097">
      <c r="B2097" s="11"/>
      <c r="C2097" s="12"/>
      <c r="D2097" s="12"/>
      <c r="E2097" s="13"/>
      <c r="G2097" s="17"/>
      <c r="J2097" s="10"/>
    </row>
    <row r="2098">
      <c r="B2098" s="14"/>
      <c r="C2098" s="15"/>
      <c r="D2098" s="15"/>
      <c r="E2098" s="16"/>
      <c r="G2098" s="17"/>
      <c r="J2098" s="10"/>
    </row>
    <row r="2099">
      <c r="B2099" s="11"/>
      <c r="C2099" s="12"/>
      <c r="D2099" s="12"/>
      <c r="E2099" s="13"/>
      <c r="G2099" s="17"/>
      <c r="J2099" s="10"/>
    </row>
    <row r="2100">
      <c r="B2100" s="14"/>
      <c r="C2100" s="15"/>
      <c r="D2100" s="15"/>
      <c r="E2100" s="16"/>
      <c r="G2100" s="17"/>
      <c r="J2100" s="10"/>
    </row>
    <row r="2101">
      <c r="B2101" s="11"/>
      <c r="C2101" s="12"/>
      <c r="D2101" s="12"/>
      <c r="E2101" s="13"/>
      <c r="G2101" s="17"/>
      <c r="J2101" s="10"/>
    </row>
    <row r="2102">
      <c r="B2102" s="14"/>
      <c r="C2102" s="15"/>
      <c r="D2102" s="15"/>
      <c r="E2102" s="16"/>
      <c r="G2102" s="17"/>
      <c r="J2102" s="10"/>
    </row>
    <row r="2103">
      <c r="B2103" s="11"/>
      <c r="C2103" s="12"/>
      <c r="D2103" s="12"/>
      <c r="E2103" s="13"/>
      <c r="G2103" s="17"/>
      <c r="J2103" s="10"/>
    </row>
    <row r="2104">
      <c r="B2104" s="14"/>
      <c r="C2104" s="15"/>
      <c r="D2104" s="15"/>
      <c r="E2104" s="16"/>
      <c r="G2104" s="17"/>
      <c r="J2104" s="10"/>
    </row>
    <row r="2105">
      <c r="B2105" s="11"/>
      <c r="C2105" s="12"/>
      <c r="D2105" s="12"/>
      <c r="E2105" s="13"/>
      <c r="G2105" s="17"/>
      <c r="J2105" s="10"/>
    </row>
    <row r="2106">
      <c r="B2106" s="14"/>
      <c r="C2106" s="15"/>
      <c r="D2106" s="15"/>
      <c r="E2106" s="16"/>
      <c r="G2106" s="17"/>
      <c r="J2106" s="10"/>
    </row>
    <row r="2107">
      <c r="B2107" s="11"/>
      <c r="C2107" s="12"/>
      <c r="D2107" s="12"/>
      <c r="E2107" s="13"/>
      <c r="G2107" s="17"/>
      <c r="J2107" s="10"/>
    </row>
    <row r="2108">
      <c r="B2108" s="14"/>
      <c r="C2108" s="15"/>
      <c r="D2108" s="15"/>
      <c r="E2108" s="16"/>
      <c r="G2108" s="17"/>
      <c r="J2108" s="10"/>
    </row>
    <row r="2109">
      <c r="B2109" s="11"/>
      <c r="C2109" s="12"/>
      <c r="D2109" s="12"/>
      <c r="E2109" s="13"/>
      <c r="G2109" s="17"/>
      <c r="J2109" s="10"/>
    </row>
    <row r="2110">
      <c r="B2110" s="14"/>
      <c r="C2110" s="15"/>
      <c r="D2110" s="15"/>
      <c r="E2110" s="16"/>
      <c r="G2110" s="17"/>
      <c r="J2110" s="10"/>
    </row>
    <row r="2111">
      <c r="B2111" s="11"/>
      <c r="C2111" s="12"/>
      <c r="D2111" s="12"/>
      <c r="E2111" s="13"/>
      <c r="G2111" s="17"/>
      <c r="J2111" s="10"/>
    </row>
    <row r="2112">
      <c r="B2112" s="14"/>
      <c r="C2112" s="15"/>
      <c r="D2112" s="15"/>
      <c r="E2112" s="16"/>
      <c r="G2112" s="17"/>
      <c r="J2112" s="10"/>
    </row>
    <row r="2113">
      <c r="B2113" s="11"/>
      <c r="C2113" s="12"/>
      <c r="D2113" s="12"/>
      <c r="E2113" s="13"/>
      <c r="G2113" s="17"/>
      <c r="J2113" s="10"/>
    </row>
    <row r="2114">
      <c r="B2114" s="14"/>
      <c r="C2114" s="15"/>
      <c r="D2114" s="15"/>
      <c r="E2114" s="16"/>
      <c r="G2114" s="17"/>
      <c r="J2114" s="10"/>
    </row>
    <row r="2115">
      <c r="B2115" s="11"/>
      <c r="C2115" s="12"/>
      <c r="D2115" s="12"/>
      <c r="E2115" s="13"/>
      <c r="G2115" s="17"/>
      <c r="J2115" s="10"/>
    </row>
    <row r="2116">
      <c r="B2116" s="14"/>
      <c r="C2116" s="15"/>
      <c r="D2116" s="15"/>
      <c r="E2116" s="16"/>
      <c r="G2116" s="17"/>
      <c r="J2116" s="10"/>
    </row>
    <row r="2117">
      <c r="B2117" s="11"/>
      <c r="C2117" s="12"/>
      <c r="D2117" s="12"/>
      <c r="E2117" s="13"/>
      <c r="G2117" s="17"/>
      <c r="J2117" s="10"/>
    </row>
    <row r="2118">
      <c r="B2118" s="14"/>
      <c r="C2118" s="15"/>
      <c r="D2118" s="15"/>
      <c r="E2118" s="16"/>
      <c r="G2118" s="17"/>
      <c r="J2118" s="10"/>
    </row>
    <row r="2119">
      <c r="B2119" s="11"/>
      <c r="C2119" s="12"/>
      <c r="D2119" s="12"/>
      <c r="E2119" s="13"/>
      <c r="G2119" s="17"/>
      <c r="J2119" s="10"/>
    </row>
    <row r="2120">
      <c r="B2120" s="14"/>
      <c r="C2120" s="15"/>
      <c r="D2120" s="15"/>
      <c r="E2120" s="16"/>
      <c r="G2120" s="17"/>
      <c r="J2120" s="10"/>
    </row>
    <row r="2121">
      <c r="B2121" s="11"/>
      <c r="C2121" s="12"/>
      <c r="D2121" s="12"/>
      <c r="E2121" s="13"/>
      <c r="G2121" s="17"/>
      <c r="J2121" s="10"/>
    </row>
    <row r="2122">
      <c r="B2122" s="14"/>
      <c r="C2122" s="15"/>
      <c r="D2122" s="15"/>
      <c r="E2122" s="16"/>
      <c r="G2122" s="17"/>
      <c r="J2122" s="10"/>
    </row>
    <row r="2123">
      <c r="B2123" s="11"/>
      <c r="C2123" s="12"/>
      <c r="D2123" s="12"/>
      <c r="E2123" s="13"/>
      <c r="G2123" s="17"/>
      <c r="J2123" s="10"/>
    </row>
    <row r="2124">
      <c r="B2124" s="14"/>
      <c r="C2124" s="15"/>
      <c r="D2124" s="15"/>
      <c r="E2124" s="16"/>
      <c r="G2124" s="17"/>
      <c r="J2124" s="10"/>
    </row>
    <row r="2125">
      <c r="B2125" s="11"/>
      <c r="C2125" s="12"/>
      <c r="D2125" s="12"/>
      <c r="E2125" s="13"/>
      <c r="G2125" s="17"/>
      <c r="J2125" s="10"/>
    </row>
    <row r="2126">
      <c r="B2126" s="14"/>
      <c r="C2126" s="15"/>
      <c r="D2126" s="15"/>
      <c r="E2126" s="16"/>
      <c r="G2126" s="17"/>
      <c r="J2126" s="10"/>
    </row>
    <row r="2127">
      <c r="B2127" s="11"/>
      <c r="C2127" s="12"/>
      <c r="D2127" s="12"/>
      <c r="E2127" s="13"/>
      <c r="G2127" s="17"/>
      <c r="J2127" s="10"/>
    </row>
    <row r="2128">
      <c r="B2128" s="14"/>
      <c r="C2128" s="15"/>
      <c r="D2128" s="15"/>
      <c r="E2128" s="16"/>
      <c r="G2128" s="17"/>
      <c r="J2128" s="10"/>
    </row>
    <row r="2129">
      <c r="B2129" s="11"/>
      <c r="C2129" s="12"/>
      <c r="D2129" s="12"/>
      <c r="E2129" s="13"/>
      <c r="G2129" s="17"/>
      <c r="J2129" s="10"/>
    </row>
    <row r="2130">
      <c r="B2130" s="14"/>
      <c r="C2130" s="15"/>
      <c r="D2130" s="15"/>
      <c r="E2130" s="16"/>
      <c r="G2130" s="17"/>
      <c r="J2130" s="10"/>
    </row>
    <row r="2131">
      <c r="B2131" s="11"/>
      <c r="C2131" s="12"/>
      <c r="D2131" s="12"/>
      <c r="E2131" s="13"/>
      <c r="G2131" s="17"/>
      <c r="J2131" s="10"/>
    </row>
    <row r="2132">
      <c r="B2132" s="14"/>
      <c r="C2132" s="15"/>
      <c r="D2132" s="15"/>
      <c r="E2132" s="16"/>
      <c r="G2132" s="17"/>
      <c r="J2132" s="10"/>
    </row>
    <row r="2133">
      <c r="B2133" s="11"/>
      <c r="C2133" s="12"/>
      <c r="D2133" s="12"/>
      <c r="E2133" s="13"/>
      <c r="G2133" s="17"/>
      <c r="J2133" s="10"/>
    </row>
    <row r="2134">
      <c r="B2134" s="14"/>
      <c r="C2134" s="15"/>
      <c r="D2134" s="15"/>
      <c r="E2134" s="16"/>
      <c r="G2134" s="17"/>
      <c r="J2134" s="10"/>
    </row>
    <row r="2135">
      <c r="B2135" s="11"/>
      <c r="C2135" s="12"/>
      <c r="D2135" s="12"/>
      <c r="E2135" s="13"/>
      <c r="G2135" s="17"/>
      <c r="J2135" s="10"/>
    </row>
    <row r="2136">
      <c r="B2136" s="14"/>
      <c r="C2136" s="15"/>
      <c r="D2136" s="15"/>
      <c r="E2136" s="16"/>
      <c r="G2136" s="17"/>
      <c r="J2136" s="10"/>
    </row>
    <row r="2137">
      <c r="B2137" s="11"/>
      <c r="C2137" s="12"/>
      <c r="D2137" s="12"/>
      <c r="E2137" s="13"/>
      <c r="G2137" s="17"/>
      <c r="J2137" s="10"/>
    </row>
    <row r="2138">
      <c r="B2138" s="14"/>
      <c r="C2138" s="15"/>
      <c r="D2138" s="15"/>
      <c r="E2138" s="16"/>
      <c r="G2138" s="17"/>
      <c r="J2138" s="10"/>
    </row>
    <row r="2139">
      <c r="B2139" s="11"/>
      <c r="C2139" s="12"/>
      <c r="D2139" s="12"/>
      <c r="E2139" s="13"/>
      <c r="G2139" s="17"/>
      <c r="J2139" s="10"/>
    </row>
    <row r="2140">
      <c r="B2140" s="14"/>
      <c r="C2140" s="15"/>
      <c r="D2140" s="15"/>
      <c r="E2140" s="16"/>
      <c r="G2140" s="17"/>
      <c r="J2140" s="10"/>
    </row>
    <row r="2141">
      <c r="B2141" s="11"/>
      <c r="C2141" s="12"/>
      <c r="D2141" s="12"/>
      <c r="E2141" s="13"/>
      <c r="G2141" s="17"/>
      <c r="J2141" s="10"/>
    </row>
    <row r="2142">
      <c r="B2142" s="14"/>
      <c r="C2142" s="15"/>
      <c r="D2142" s="15"/>
      <c r="E2142" s="16"/>
      <c r="G2142" s="17"/>
      <c r="J2142" s="10"/>
    </row>
    <row r="2143">
      <c r="B2143" s="11"/>
      <c r="C2143" s="12"/>
      <c r="D2143" s="12"/>
      <c r="E2143" s="13"/>
      <c r="G2143" s="17"/>
      <c r="J2143" s="10"/>
    </row>
    <row r="2144">
      <c r="B2144" s="14"/>
      <c r="C2144" s="15"/>
      <c r="D2144" s="15"/>
      <c r="E2144" s="16"/>
      <c r="G2144" s="17"/>
      <c r="J2144" s="10"/>
    </row>
    <row r="2145">
      <c r="B2145" s="11"/>
      <c r="C2145" s="12"/>
      <c r="D2145" s="12"/>
      <c r="E2145" s="13"/>
      <c r="G2145" s="17"/>
      <c r="J2145" s="10"/>
    </row>
    <row r="2146">
      <c r="B2146" s="14"/>
      <c r="C2146" s="15"/>
      <c r="D2146" s="15"/>
      <c r="E2146" s="16"/>
      <c r="G2146" s="17"/>
      <c r="J2146" s="10"/>
    </row>
    <row r="2147">
      <c r="B2147" s="11"/>
      <c r="C2147" s="12"/>
      <c r="D2147" s="12"/>
      <c r="E2147" s="13"/>
      <c r="G2147" s="17"/>
      <c r="J2147" s="10"/>
    </row>
    <row r="2148">
      <c r="B2148" s="14"/>
      <c r="C2148" s="15"/>
      <c r="D2148" s="15"/>
      <c r="E2148" s="16"/>
      <c r="G2148" s="17"/>
      <c r="J2148" s="10"/>
    </row>
    <row r="2149">
      <c r="B2149" s="11"/>
      <c r="C2149" s="12"/>
      <c r="D2149" s="12"/>
      <c r="E2149" s="13"/>
      <c r="G2149" s="17"/>
      <c r="J2149" s="10"/>
    </row>
    <row r="2150">
      <c r="B2150" s="14"/>
      <c r="C2150" s="15"/>
      <c r="D2150" s="15"/>
      <c r="E2150" s="16"/>
      <c r="G2150" s="17"/>
      <c r="J2150" s="10"/>
    </row>
    <row r="2151">
      <c r="B2151" s="11"/>
      <c r="C2151" s="12"/>
      <c r="D2151" s="12"/>
      <c r="E2151" s="13"/>
      <c r="G2151" s="17"/>
      <c r="J2151" s="10"/>
    </row>
    <row r="2152">
      <c r="B2152" s="14"/>
      <c r="C2152" s="15"/>
      <c r="D2152" s="15"/>
      <c r="E2152" s="16"/>
      <c r="G2152" s="17"/>
      <c r="J2152" s="10"/>
    </row>
    <row r="2153">
      <c r="B2153" s="11"/>
      <c r="C2153" s="12"/>
      <c r="D2153" s="12"/>
      <c r="E2153" s="13"/>
      <c r="G2153" s="17"/>
      <c r="J2153" s="10"/>
    </row>
    <row r="2154">
      <c r="B2154" s="14"/>
      <c r="C2154" s="15"/>
      <c r="D2154" s="15"/>
      <c r="E2154" s="16"/>
      <c r="G2154" s="17"/>
      <c r="J2154" s="10"/>
    </row>
    <row r="2155">
      <c r="B2155" s="11"/>
      <c r="C2155" s="12"/>
      <c r="D2155" s="12"/>
      <c r="E2155" s="13"/>
      <c r="G2155" s="17"/>
      <c r="J2155" s="10"/>
    </row>
    <row r="2156">
      <c r="B2156" s="14"/>
      <c r="C2156" s="15"/>
      <c r="D2156" s="15"/>
      <c r="E2156" s="16"/>
      <c r="G2156" s="17"/>
      <c r="J2156" s="10"/>
    </row>
    <row r="2157">
      <c r="B2157" s="11"/>
      <c r="C2157" s="12"/>
      <c r="D2157" s="12"/>
      <c r="E2157" s="13"/>
      <c r="G2157" s="17"/>
      <c r="J2157" s="10"/>
    </row>
    <row r="2158">
      <c r="B2158" s="14"/>
      <c r="C2158" s="15"/>
      <c r="D2158" s="15"/>
      <c r="E2158" s="16"/>
      <c r="G2158" s="17"/>
      <c r="J2158" s="10"/>
    </row>
    <row r="2159">
      <c r="B2159" s="11"/>
      <c r="C2159" s="12"/>
      <c r="D2159" s="12"/>
      <c r="E2159" s="13"/>
      <c r="G2159" s="17"/>
      <c r="J2159" s="10"/>
    </row>
    <row r="2160">
      <c r="B2160" s="14"/>
      <c r="C2160" s="15"/>
      <c r="D2160" s="15"/>
      <c r="E2160" s="16"/>
      <c r="G2160" s="17"/>
      <c r="J2160" s="10"/>
    </row>
    <row r="2161">
      <c r="B2161" s="11"/>
      <c r="C2161" s="12"/>
      <c r="D2161" s="12"/>
      <c r="E2161" s="13"/>
      <c r="G2161" s="17"/>
      <c r="J2161" s="10"/>
    </row>
    <row r="2162">
      <c r="B2162" s="14"/>
      <c r="C2162" s="15"/>
      <c r="D2162" s="15"/>
      <c r="E2162" s="16"/>
      <c r="G2162" s="17"/>
      <c r="J2162" s="10"/>
    </row>
    <row r="2163">
      <c r="B2163" s="11"/>
      <c r="C2163" s="12"/>
      <c r="D2163" s="12"/>
      <c r="E2163" s="13"/>
      <c r="G2163" s="17"/>
      <c r="J2163" s="10"/>
    </row>
    <row r="2164">
      <c r="B2164" s="14"/>
      <c r="C2164" s="15"/>
      <c r="D2164" s="15"/>
      <c r="E2164" s="16"/>
      <c r="G2164" s="17"/>
      <c r="J2164" s="10"/>
    </row>
    <row r="2165">
      <c r="B2165" s="11"/>
      <c r="C2165" s="12"/>
      <c r="D2165" s="12"/>
      <c r="E2165" s="13"/>
      <c r="G2165" s="17"/>
      <c r="J2165" s="10"/>
    </row>
    <row r="2166">
      <c r="B2166" s="14"/>
      <c r="C2166" s="15"/>
      <c r="D2166" s="15"/>
      <c r="E2166" s="16"/>
      <c r="G2166" s="17"/>
      <c r="J2166" s="10"/>
    </row>
    <row r="2167">
      <c r="B2167" s="11"/>
      <c r="C2167" s="12"/>
      <c r="D2167" s="12"/>
      <c r="E2167" s="13"/>
      <c r="G2167" s="17"/>
      <c r="J2167" s="10"/>
    </row>
    <row r="2168">
      <c r="B2168" s="14"/>
      <c r="C2168" s="15"/>
      <c r="D2168" s="15"/>
      <c r="E2168" s="16"/>
      <c r="G2168" s="17"/>
      <c r="J2168" s="10"/>
    </row>
    <row r="2169">
      <c r="B2169" s="11"/>
      <c r="C2169" s="12"/>
      <c r="D2169" s="12"/>
      <c r="E2169" s="13"/>
      <c r="G2169" s="17"/>
      <c r="J2169" s="10"/>
    </row>
    <row r="2170">
      <c r="B2170" s="14"/>
      <c r="C2170" s="15"/>
      <c r="D2170" s="15"/>
      <c r="E2170" s="16"/>
      <c r="G2170" s="17"/>
      <c r="J2170" s="10"/>
    </row>
    <row r="2171">
      <c r="B2171" s="11"/>
      <c r="C2171" s="12"/>
      <c r="D2171" s="12"/>
      <c r="E2171" s="13"/>
      <c r="G2171" s="17"/>
      <c r="J2171" s="10"/>
    </row>
    <row r="2172">
      <c r="B2172" s="14"/>
      <c r="C2172" s="15"/>
      <c r="D2172" s="15"/>
      <c r="E2172" s="16"/>
      <c r="G2172" s="17"/>
      <c r="J2172" s="10"/>
    </row>
    <row r="2173">
      <c r="B2173" s="11"/>
      <c r="C2173" s="12"/>
      <c r="D2173" s="12"/>
      <c r="E2173" s="13"/>
      <c r="G2173" s="17"/>
      <c r="J2173" s="10"/>
    </row>
    <row r="2174">
      <c r="B2174" s="14"/>
      <c r="C2174" s="15"/>
      <c r="D2174" s="15"/>
      <c r="E2174" s="16"/>
      <c r="G2174" s="17"/>
      <c r="J2174" s="10"/>
    </row>
    <row r="2175">
      <c r="B2175" s="11"/>
      <c r="C2175" s="12"/>
      <c r="D2175" s="12"/>
      <c r="E2175" s="13"/>
      <c r="G2175" s="17"/>
      <c r="J2175" s="10"/>
    </row>
    <row r="2176">
      <c r="B2176" s="14"/>
      <c r="C2176" s="15"/>
      <c r="D2176" s="15"/>
      <c r="E2176" s="16"/>
      <c r="G2176" s="17"/>
      <c r="J2176" s="10"/>
    </row>
    <row r="2177">
      <c r="B2177" s="11"/>
      <c r="C2177" s="12"/>
      <c r="D2177" s="12"/>
      <c r="E2177" s="13"/>
      <c r="G2177" s="17"/>
      <c r="J2177" s="10"/>
    </row>
    <row r="2178">
      <c r="B2178" s="14"/>
      <c r="C2178" s="15"/>
      <c r="D2178" s="15"/>
      <c r="E2178" s="16"/>
      <c r="G2178" s="17"/>
      <c r="J2178" s="10"/>
    </row>
    <row r="2179">
      <c r="B2179" s="11"/>
      <c r="C2179" s="12"/>
      <c r="D2179" s="12"/>
      <c r="E2179" s="13"/>
      <c r="G2179" s="17"/>
      <c r="J2179" s="10"/>
    </row>
    <row r="2180">
      <c r="B2180" s="14"/>
      <c r="C2180" s="15"/>
      <c r="D2180" s="15"/>
      <c r="E2180" s="16"/>
      <c r="G2180" s="17"/>
      <c r="J2180" s="10"/>
    </row>
    <row r="2181">
      <c r="B2181" s="11"/>
      <c r="C2181" s="12"/>
      <c r="D2181" s="12"/>
      <c r="E2181" s="13"/>
      <c r="G2181" s="17"/>
      <c r="J2181" s="10"/>
    </row>
    <row r="2182">
      <c r="B2182" s="14"/>
      <c r="C2182" s="15"/>
      <c r="D2182" s="15"/>
      <c r="E2182" s="16"/>
      <c r="G2182" s="17"/>
      <c r="J2182" s="10"/>
    </row>
    <row r="2183">
      <c r="B2183" s="11"/>
      <c r="C2183" s="12"/>
      <c r="D2183" s="12"/>
      <c r="E2183" s="13"/>
      <c r="G2183" s="17"/>
      <c r="J2183" s="10"/>
    </row>
    <row r="2184">
      <c r="B2184" s="14"/>
      <c r="C2184" s="15"/>
      <c r="D2184" s="15"/>
      <c r="E2184" s="16"/>
      <c r="G2184" s="17"/>
      <c r="J2184" s="10"/>
    </row>
    <row r="2185">
      <c r="B2185" s="11"/>
      <c r="C2185" s="12"/>
      <c r="D2185" s="12"/>
      <c r="E2185" s="13"/>
      <c r="G2185" s="17"/>
      <c r="J2185" s="10"/>
    </row>
    <row r="2186">
      <c r="B2186" s="14"/>
      <c r="C2186" s="15"/>
      <c r="D2186" s="15"/>
      <c r="E2186" s="16"/>
      <c r="G2186" s="17"/>
      <c r="J2186" s="10"/>
    </row>
    <row r="2187">
      <c r="B2187" s="11"/>
      <c r="C2187" s="12"/>
      <c r="D2187" s="12"/>
      <c r="E2187" s="13"/>
      <c r="G2187" s="17"/>
      <c r="J2187" s="10"/>
    </row>
    <row r="2188">
      <c r="B2188" s="14"/>
      <c r="C2188" s="15"/>
      <c r="D2188" s="15"/>
      <c r="E2188" s="16"/>
      <c r="G2188" s="17"/>
      <c r="J2188" s="10"/>
    </row>
    <row r="2189">
      <c r="B2189" s="11"/>
      <c r="C2189" s="12"/>
      <c r="D2189" s="12"/>
      <c r="E2189" s="13"/>
      <c r="G2189" s="17"/>
      <c r="J2189" s="10"/>
    </row>
    <row r="2190">
      <c r="B2190" s="14"/>
      <c r="C2190" s="15"/>
      <c r="D2190" s="15"/>
      <c r="E2190" s="16"/>
      <c r="G2190" s="17"/>
      <c r="J2190" s="10"/>
    </row>
    <row r="2191">
      <c r="B2191" s="11"/>
      <c r="C2191" s="12"/>
      <c r="D2191" s="12"/>
      <c r="E2191" s="13"/>
      <c r="G2191" s="17"/>
      <c r="J2191" s="10"/>
    </row>
    <row r="2192">
      <c r="B2192" s="14"/>
      <c r="C2192" s="15"/>
      <c r="D2192" s="15"/>
      <c r="E2192" s="16"/>
      <c r="G2192" s="17"/>
      <c r="J2192" s="10"/>
    </row>
    <row r="2193">
      <c r="B2193" s="11"/>
      <c r="C2193" s="12"/>
      <c r="D2193" s="12"/>
      <c r="E2193" s="13"/>
      <c r="G2193" s="17"/>
      <c r="J2193" s="10"/>
    </row>
    <row r="2194">
      <c r="B2194" s="14"/>
      <c r="C2194" s="15"/>
      <c r="D2194" s="15"/>
      <c r="E2194" s="16"/>
      <c r="G2194" s="17"/>
      <c r="J2194" s="10"/>
    </row>
    <row r="2195">
      <c r="B2195" s="11"/>
      <c r="C2195" s="12"/>
      <c r="D2195" s="12"/>
      <c r="E2195" s="13"/>
      <c r="G2195" s="17"/>
      <c r="J2195" s="10"/>
    </row>
    <row r="2196">
      <c r="B2196" s="14"/>
      <c r="C2196" s="15"/>
      <c r="D2196" s="15"/>
      <c r="E2196" s="16"/>
      <c r="G2196" s="17"/>
      <c r="J2196" s="10"/>
    </row>
    <row r="2197">
      <c r="B2197" s="11"/>
      <c r="C2197" s="12"/>
      <c r="D2197" s="12"/>
      <c r="E2197" s="13"/>
      <c r="G2197" s="17"/>
      <c r="J2197" s="10"/>
    </row>
    <row r="2198">
      <c r="B2198" s="14"/>
      <c r="C2198" s="15"/>
      <c r="D2198" s="15"/>
      <c r="E2198" s="16"/>
      <c r="G2198" s="17"/>
      <c r="J2198" s="10"/>
    </row>
    <row r="2199">
      <c r="B2199" s="11"/>
      <c r="C2199" s="12"/>
      <c r="D2199" s="12"/>
      <c r="E2199" s="13"/>
      <c r="G2199" s="17"/>
      <c r="J2199" s="10"/>
    </row>
    <row r="2200">
      <c r="B2200" s="14"/>
      <c r="C2200" s="15"/>
      <c r="D2200" s="15"/>
      <c r="E2200" s="16"/>
      <c r="G2200" s="17"/>
      <c r="J2200" s="10"/>
    </row>
    <row r="2201">
      <c r="B2201" s="11"/>
      <c r="C2201" s="12"/>
      <c r="D2201" s="12"/>
      <c r="E2201" s="13"/>
      <c r="G2201" s="17"/>
      <c r="J2201" s="10"/>
    </row>
    <row r="2202">
      <c r="B2202" s="14"/>
      <c r="C2202" s="15"/>
      <c r="D2202" s="15"/>
      <c r="E2202" s="16"/>
      <c r="G2202" s="17"/>
      <c r="J2202" s="10"/>
    </row>
    <row r="2203">
      <c r="B2203" s="11"/>
      <c r="C2203" s="12"/>
      <c r="D2203" s="12"/>
      <c r="E2203" s="13"/>
      <c r="G2203" s="17"/>
      <c r="J2203" s="10"/>
    </row>
    <row r="2204">
      <c r="B2204" s="14"/>
      <c r="C2204" s="15"/>
      <c r="D2204" s="15"/>
      <c r="E2204" s="16"/>
      <c r="G2204" s="17"/>
      <c r="J2204" s="10"/>
    </row>
    <row r="2205">
      <c r="B2205" s="11"/>
      <c r="C2205" s="12"/>
      <c r="D2205" s="12"/>
      <c r="E2205" s="13"/>
      <c r="G2205" s="17"/>
      <c r="J2205" s="10"/>
    </row>
    <row r="2206">
      <c r="B2206" s="14"/>
      <c r="C2206" s="15"/>
      <c r="D2206" s="15"/>
      <c r="E2206" s="16"/>
      <c r="G2206" s="17"/>
      <c r="J2206" s="10"/>
    </row>
    <row r="2207">
      <c r="B2207" s="11"/>
      <c r="C2207" s="12"/>
      <c r="D2207" s="12"/>
      <c r="E2207" s="13"/>
      <c r="G2207" s="17"/>
      <c r="J2207" s="10"/>
    </row>
    <row r="2208">
      <c r="B2208" s="14"/>
      <c r="C2208" s="15"/>
      <c r="D2208" s="15"/>
      <c r="E2208" s="16"/>
      <c r="G2208" s="17"/>
      <c r="J2208" s="10"/>
    </row>
    <row r="2209">
      <c r="B2209" s="11"/>
      <c r="C2209" s="12"/>
      <c r="D2209" s="12"/>
      <c r="E2209" s="13"/>
      <c r="G2209" s="17"/>
      <c r="J2209" s="10"/>
    </row>
    <row r="2210">
      <c r="B2210" s="14"/>
      <c r="C2210" s="15"/>
      <c r="D2210" s="15"/>
      <c r="E2210" s="16"/>
      <c r="G2210" s="17"/>
      <c r="J2210" s="10"/>
    </row>
    <row r="2211">
      <c r="B2211" s="11"/>
      <c r="C2211" s="12"/>
      <c r="D2211" s="12"/>
      <c r="E2211" s="13"/>
      <c r="G2211" s="17"/>
      <c r="J2211" s="10"/>
    </row>
    <row r="2212">
      <c r="B2212" s="14"/>
      <c r="C2212" s="15"/>
      <c r="D2212" s="15"/>
      <c r="E2212" s="16"/>
      <c r="G2212" s="17"/>
      <c r="J2212" s="10"/>
    </row>
    <row r="2213">
      <c r="B2213" s="11"/>
      <c r="C2213" s="12"/>
      <c r="D2213" s="12"/>
      <c r="E2213" s="13"/>
      <c r="G2213" s="17"/>
      <c r="J2213" s="10"/>
    </row>
    <row r="2214">
      <c r="B2214" s="14"/>
      <c r="C2214" s="15"/>
      <c r="D2214" s="15"/>
      <c r="E2214" s="16"/>
      <c r="G2214" s="17"/>
      <c r="J2214" s="10"/>
    </row>
    <row r="2215">
      <c r="B2215" s="11"/>
      <c r="C2215" s="12"/>
      <c r="D2215" s="12"/>
      <c r="E2215" s="13"/>
      <c r="G2215" s="17"/>
      <c r="J2215" s="10"/>
    </row>
    <row r="2216">
      <c r="B2216" s="14"/>
      <c r="C2216" s="15"/>
      <c r="D2216" s="15"/>
      <c r="E2216" s="16"/>
      <c r="G2216" s="17"/>
      <c r="J2216" s="10"/>
    </row>
    <row r="2217">
      <c r="B2217" s="11"/>
      <c r="C2217" s="12"/>
      <c r="D2217" s="12"/>
      <c r="E2217" s="13"/>
      <c r="G2217" s="17"/>
      <c r="J2217" s="10"/>
    </row>
    <row r="2218">
      <c r="B2218" s="14"/>
      <c r="C2218" s="15"/>
      <c r="D2218" s="15"/>
      <c r="E2218" s="16"/>
      <c r="G2218" s="17"/>
      <c r="J2218" s="10"/>
    </row>
    <row r="2219">
      <c r="B2219" s="11"/>
      <c r="C2219" s="12"/>
      <c r="D2219" s="12"/>
      <c r="E2219" s="13"/>
      <c r="G2219" s="17"/>
      <c r="J2219" s="10"/>
    </row>
    <row r="2220">
      <c r="B2220" s="14"/>
      <c r="C2220" s="15"/>
      <c r="D2220" s="15"/>
      <c r="E2220" s="16"/>
      <c r="G2220" s="17"/>
      <c r="J2220" s="10"/>
    </row>
    <row r="2221">
      <c r="B2221" s="11"/>
      <c r="C2221" s="12"/>
      <c r="D2221" s="12"/>
      <c r="E2221" s="13"/>
      <c r="G2221" s="17"/>
      <c r="J2221" s="10"/>
    </row>
    <row r="2222">
      <c r="B2222" s="14"/>
      <c r="C2222" s="15"/>
      <c r="D2222" s="15"/>
      <c r="E2222" s="16"/>
      <c r="G2222" s="17"/>
      <c r="J2222" s="10"/>
    </row>
    <row r="2223">
      <c r="B2223" s="11"/>
      <c r="C2223" s="12"/>
      <c r="D2223" s="12"/>
      <c r="E2223" s="13"/>
      <c r="G2223" s="17"/>
      <c r="J2223" s="10"/>
    </row>
    <row r="2224">
      <c r="B2224" s="14"/>
      <c r="C2224" s="15"/>
      <c r="D2224" s="15"/>
      <c r="E2224" s="16"/>
      <c r="G2224" s="17"/>
      <c r="J2224" s="10"/>
    </row>
    <row r="2225">
      <c r="B2225" s="11"/>
      <c r="C2225" s="12"/>
      <c r="D2225" s="12"/>
      <c r="E2225" s="13"/>
      <c r="G2225" s="17"/>
      <c r="J2225" s="10"/>
    </row>
    <row r="2226">
      <c r="B2226" s="14"/>
      <c r="C2226" s="15"/>
      <c r="D2226" s="15"/>
      <c r="E2226" s="16"/>
      <c r="G2226" s="17"/>
      <c r="J2226" s="10"/>
    </row>
    <row r="2227">
      <c r="B2227" s="11"/>
      <c r="C2227" s="12"/>
      <c r="D2227" s="12"/>
      <c r="E2227" s="13"/>
      <c r="G2227" s="17"/>
      <c r="J2227" s="10"/>
    </row>
    <row r="2228">
      <c r="B2228" s="14"/>
      <c r="C2228" s="15"/>
      <c r="D2228" s="15"/>
      <c r="E2228" s="16"/>
      <c r="G2228" s="17"/>
      <c r="J2228" s="10"/>
    </row>
    <row r="2229">
      <c r="B2229" s="11"/>
      <c r="C2229" s="12"/>
      <c r="D2229" s="12"/>
      <c r="E2229" s="13"/>
      <c r="G2229" s="17"/>
      <c r="J2229" s="10"/>
    </row>
    <row r="2230">
      <c r="B2230" s="14"/>
      <c r="C2230" s="15"/>
      <c r="D2230" s="15"/>
      <c r="E2230" s="16"/>
      <c r="G2230" s="17"/>
      <c r="J2230" s="10"/>
    </row>
    <row r="2231">
      <c r="B2231" s="11"/>
      <c r="C2231" s="12"/>
      <c r="D2231" s="12"/>
      <c r="E2231" s="13"/>
      <c r="G2231" s="17"/>
      <c r="J2231" s="10"/>
    </row>
    <row r="2232">
      <c r="B2232" s="14"/>
      <c r="C2232" s="15"/>
      <c r="D2232" s="15"/>
      <c r="E2232" s="16"/>
      <c r="G2232" s="17"/>
      <c r="J2232" s="10"/>
    </row>
    <row r="2233">
      <c r="B2233" s="11"/>
      <c r="C2233" s="12"/>
      <c r="D2233" s="12"/>
      <c r="E2233" s="13"/>
      <c r="G2233" s="17"/>
      <c r="J2233" s="10"/>
    </row>
    <row r="2234">
      <c r="B2234" s="14"/>
      <c r="C2234" s="15"/>
      <c r="D2234" s="15"/>
      <c r="E2234" s="16"/>
      <c r="G2234" s="17"/>
      <c r="J2234" s="10"/>
    </row>
    <row r="2235">
      <c r="B2235" s="11"/>
      <c r="C2235" s="12"/>
      <c r="D2235" s="12"/>
      <c r="E2235" s="13"/>
      <c r="G2235" s="17"/>
      <c r="J2235" s="10"/>
    </row>
    <row r="2236">
      <c r="B2236" s="14"/>
      <c r="C2236" s="15"/>
      <c r="D2236" s="15"/>
      <c r="E2236" s="16"/>
      <c r="G2236" s="17"/>
      <c r="J2236" s="10"/>
    </row>
    <row r="2237">
      <c r="B2237" s="11"/>
      <c r="C2237" s="12"/>
      <c r="D2237" s="12"/>
      <c r="E2237" s="13"/>
      <c r="G2237" s="17"/>
      <c r="J2237" s="10"/>
    </row>
    <row r="2238">
      <c r="B2238" s="14"/>
      <c r="C2238" s="15"/>
      <c r="D2238" s="15"/>
      <c r="E2238" s="16"/>
      <c r="G2238" s="17"/>
      <c r="J2238" s="10"/>
    </row>
    <row r="2239">
      <c r="B2239" s="11"/>
      <c r="C2239" s="12"/>
      <c r="D2239" s="12"/>
      <c r="E2239" s="13"/>
      <c r="G2239" s="17"/>
      <c r="J2239" s="10"/>
    </row>
    <row r="2240">
      <c r="B2240" s="14"/>
      <c r="C2240" s="15"/>
      <c r="D2240" s="15"/>
      <c r="E2240" s="16"/>
      <c r="G2240" s="17"/>
      <c r="J2240" s="10"/>
    </row>
    <row r="2241">
      <c r="B2241" s="11"/>
      <c r="C2241" s="12"/>
      <c r="D2241" s="12"/>
      <c r="E2241" s="13"/>
      <c r="G2241" s="17"/>
      <c r="J2241" s="10"/>
    </row>
    <row r="2242">
      <c r="B2242" s="14"/>
      <c r="C2242" s="15"/>
      <c r="D2242" s="15"/>
      <c r="E2242" s="16"/>
      <c r="G2242" s="17"/>
      <c r="J2242" s="10"/>
    </row>
    <row r="2243">
      <c r="B2243" s="11"/>
      <c r="C2243" s="12"/>
      <c r="D2243" s="12"/>
      <c r="E2243" s="13"/>
      <c r="G2243" s="17"/>
      <c r="J2243" s="10"/>
    </row>
    <row r="2244">
      <c r="B2244" s="14"/>
      <c r="C2244" s="15"/>
      <c r="D2244" s="15"/>
      <c r="E2244" s="16"/>
      <c r="G2244" s="17"/>
      <c r="J2244" s="10"/>
    </row>
    <row r="2245">
      <c r="B2245" s="11"/>
      <c r="C2245" s="12"/>
      <c r="D2245" s="12"/>
      <c r="E2245" s="13"/>
      <c r="G2245" s="17"/>
      <c r="J2245" s="10"/>
    </row>
    <row r="2246">
      <c r="B2246" s="14"/>
      <c r="C2246" s="15"/>
      <c r="D2246" s="15"/>
      <c r="E2246" s="16"/>
      <c r="G2246" s="17"/>
      <c r="J2246" s="10"/>
    </row>
    <row r="2247">
      <c r="B2247" s="11"/>
      <c r="C2247" s="12"/>
      <c r="D2247" s="12"/>
      <c r="E2247" s="13"/>
      <c r="G2247" s="17"/>
      <c r="J2247" s="10"/>
    </row>
    <row r="2248">
      <c r="B2248" s="14"/>
      <c r="C2248" s="15"/>
      <c r="D2248" s="15"/>
      <c r="E2248" s="16"/>
      <c r="G2248" s="17"/>
      <c r="J2248" s="10"/>
    </row>
    <row r="2249">
      <c r="B2249" s="11"/>
      <c r="C2249" s="12"/>
      <c r="D2249" s="12"/>
      <c r="E2249" s="13"/>
      <c r="G2249" s="17"/>
      <c r="J2249" s="10"/>
    </row>
    <row r="2250">
      <c r="B2250" s="14"/>
      <c r="C2250" s="15"/>
      <c r="D2250" s="15"/>
      <c r="E2250" s="16"/>
      <c r="G2250" s="17"/>
      <c r="J2250" s="10"/>
    </row>
    <row r="2251">
      <c r="B2251" s="11"/>
      <c r="C2251" s="12"/>
      <c r="D2251" s="12"/>
      <c r="E2251" s="13"/>
      <c r="G2251" s="17"/>
      <c r="J2251" s="10"/>
    </row>
    <row r="2252">
      <c r="B2252" s="14"/>
      <c r="C2252" s="15"/>
      <c r="D2252" s="15"/>
      <c r="E2252" s="16"/>
      <c r="G2252" s="17"/>
      <c r="J2252" s="10"/>
    </row>
    <row r="2253">
      <c r="B2253" s="11"/>
      <c r="C2253" s="12"/>
      <c r="D2253" s="12"/>
      <c r="E2253" s="13"/>
      <c r="G2253" s="17"/>
      <c r="J2253" s="10"/>
    </row>
    <row r="2254">
      <c r="B2254" s="14"/>
      <c r="C2254" s="15"/>
      <c r="D2254" s="15"/>
      <c r="E2254" s="16"/>
      <c r="G2254" s="17"/>
      <c r="J2254" s="10"/>
    </row>
    <row r="2255">
      <c r="B2255" s="11"/>
      <c r="C2255" s="12"/>
      <c r="D2255" s="12"/>
      <c r="E2255" s="13"/>
      <c r="G2255" s="17"/>
      <c r="J2255" s="10"/>
    </row>
    <row r="2256">
      <c r="B2256" s="14"/>
      <c r="C2256" s="15"/>
      <c r="D2256" s="15"/>
      <c r="E2256" s="16"/>
      <c r="G2256" s="17"/>
      <c r="J2256" s="10"/>
    </row>
    <row r="2257">
      <c r="B2257" s="11"/>
      <c r="C2257" s="12"/>
      <c r="D2257" s="12"/>
      <c r="E2257" s="13"/>
      <c r="G2257" s="17"/>
      <c r="J2257" s="10"/>
    </row>
    <row r="2258">
      <c r="B2258" s="14"/>
      <c r="C2258" s="15"/>
      <c r="D2258" s="15"/>
      <c r="E2258" s="16"/>
      <c r="G2258" s="17"/>
      <c r="J2258" s="10"/>
    </row>
    <row r="2259">
      <c r="B2259" s="11"/>
      <c r="C2259" s="12"/>
      <c r="D2259" s="12"/>
      <c r="E2259" s="13"/>
      <c r="G2259" s="17"/>
      <c r="J2259" s="10"/>
    </row>
    <row r="2260">
      <c r="B2260" s="14"/>
      <c r="C2260" s="15"/>
      <c r="D2260" s="15"/>
      <c r="E2260" s="16"/>
      <c r="G2260" s="17"/>
      <c r="J2260" s="10"/>
    </row>
    <row r="2261">
      <c r="B2261" s="11"/>
      <c r="C2261" s="12"/>
      <c r="D2261" s="12"/>
      <c r="E2261" s="13"/>
      <c r="G2261" s="17"/>
      <c r="J2261" s="10"/>
    </row>
    <row r="2262">
      <c r="B2262" s="14"/>
      <c r="C2262" s="15"/>
      <c r="D2262" s="15"/>
      <c r="E2262" s="16"/>
      <c r="G2262" s="17"/>
      <c r="J2262" s="10"/>
    </row>
    <row r="2263">
      <c r="B2263" s="11"/>
      <c r="C2263" s="12"/>
      <c r="D2263" s="12"/>
      <c r="E2263" s="13"/>
      <c r="G2263" s="17"/>
      <c r="J2263" s="10"/>
    </row>
    <row r="2264">
      <c r="B2264" s="14"/>
      <c r="C2264" s="15"/>
      <c r="D2264" s="15"/>
      <c r="E2264" s="16"/>
      <c r="G2264" s="17"/>
      <c r="J2264" s="10"/>
    </row>
    <row r="2265">
      <c r="B2265" s="11"/>
      <c r="C2265" s="12"/>
      <c r="D2265" s="12"/>
      <c r="E2265" s="13"/>
      <c r="G2265" s="17"/>
      <c r="J2265" s="10"/>
    </row>
    <row r="2266">
      <c r="B2266" s="14"/>
      <c r="C2266" s="15"/>
      <c r="D2266" s="15"/>
      <c r="E2266" s="16"/>
      <c r="G2266" s="17"/>
      <c r="J2266" s="10"/>
    </row>
    <row r="2267">
      <c r="B2267" s="11"/>
      <c r="C2267" s="12"/>
      <c r="D2267" s="12"/>
      <c r="E2267" s="13"/>
      <c r="G2267" s="17"/>
      <c r="J2267" s="10"/>
    </row>
    <row r="2268">
      <c r="B2268" s="14"/>
      <c r="C2268" s="15"/>
      <c r="D2268" s="15"/>
      <c r="E2268" s="16"/>
      <c r="G2268" s="17"/>
      <c r="J2268" s="10"/>
    </row>
    <row r="2269">
      <c r="B2269" s="11"/>
      <c r="C2269" s="12"/>
      <c r="D2269" s="12"/>
      <c r="E2269" s="13"/>
      <c r="G2269" s="17"/>
      <c r="J2269" s="10"/>
    </row>
    <row r="2270">
      <c r="B2270" s="14"/>
      <c r="C2270" s="15"/>
      <c r="D2270" s="15"/>
      <c r="E2270" s="16"/>
      <c r="G2270" s="17"/>
      <c r="J2270" s="10"/>
    </row>
    <row r="2271">
      <c r="B2271" s="11"/>
      <c r="C2271" s="12"/>
      <c r="D2271" s="12"/>
      <c r="E2271" s="13"/>
      <c r="G2271" s="17"/>
      <c r="J2271" s="10"/>
    </row>
    <row r="2272">
      <c r="B2272" s="14"/>
      <c r="C2272" s="15"/>
      <c r="D2272" s="15"/>
      <c r="E2272" s="16"/>
      <c r="G2272" s="17"/>
      <c r="J2272" s="10"/>
    </row>
    <row r="2273">
      <c r="B2273" s="11"/>
      <c r="C2273" s="12"/>
      <c r="D2273" s="12"/>
      <c r="E2273" s="13"/>
      <c r="G2273" s="17"/>
      <c r="J2273" s="10"/>
    </row>
    <row r="2274">
      <c r="B2274" s="14"/>
      <c r="C2274" s="15"/>
      <c r="D2274" s="15"/>
      <c r="E2274" s="16"/>
      <c r="G2274" s="17"/>
      <c r="J2274" s="10"/>
    </row>
    <row r="2275">
      <c r="B2275" s="11"/>
      <c r="C2275" s="12"/>
      <c r="D2275" s="12"/>
      <c r="E2275" s="13"/>
      <c r="G2275" s="17"/>
      <c r="J2275" s="10"/>
    </row>
    <row r="2276">
      <c r="B2276" s="14"/>
      <c r="C2276" s="15"/>
      <c r="D2276" s="15"/>
      <c r="E2276" s="16"/>
      <c r="G2276" s="17"/>
      <c r="J2276" s="10"/>
    </row>
    <row r="2277">
      <c r="B2277" s="11"/>
      <c r="C2277" s="12"/>
      <c r="D2277" s="12"/>
      <c r="E2277" s="13"/>
      <c r="G2277" s="17"/>
      <c r="J2277" s="10"/>
    </row>
    <row r="2278">
      <c r="B2278" s="14"/>
      <c r="C2278" s="15"/>
      <c r="D2278" s="15"/>
      <c r="E2278" s="16"/>
      <c r="G2278" s="17"/>
      <c r="J2278" s="10"/>
    </row>
    <row r="2279">
      <c r="B2279" s="11"/>
      <c r="C2279" s="12"/>
      <c r="D2279" s="12"/>
      <c r="E2279" s="13"/>
      <c r="G2279" s="17"/>
      <c r="J2279" s="10"/>
    </row>
    <row r="2280">
      <c r="B2280" s="14"/>
      <c r="C2280" s="15"/>
      <c r="D2280" s="15"/>
      <c r="E2280" s="16"/>
      <c r="G2280" s="17"/>
      <c r="J2280" s="10"/>
    </row>
    <row r="2281">
      <c r="B2281" s="11"/>
      <c r="C2281" s="12"/>
      <c r="D2281" s="12"/>
      <c r="E2281" s="13"/>
      <c r="G2281" s="17"/>
      <c r="J2281" s="10"/>
    </row>
    <row r="2282">
      <c r="B2282" s="14"/>
      <c r="C2282" s="15"/>
      <c r="D2282" s="15"/>
      <c r="E2282" s="16"/>
      <c r="G2282" s="17"/>
      <c r="J2282" s="10"/>
    </row>
    <row r="2283">
      <c r="B2283" s="11"/>
      <c r="C2283" s="12"/>
      <c r="D2283" s="12"/>
      <c r="E2283" s="13"/>
      <c r="G2283" s="17"/>
      <c r="J2283" s="10"/>
    </row>
    <row r="2284">
      <c r="B2284" s="14"/>
      <c r="C2284" s="15"/>
      <c r="D2284" s="15"/>
      <c r="E2284" s="16"/>
      <c r="G2284" s="17"/>
      <c r="J2284" s="10"/>
    </row>
    <row r="2285">
      <c r="B2285" s="11"/>
      <c r="C2285" s="12"/>
      <c r="D2285" s="12"/>
      <c r="E2285" s="13"/>
      <c r="G2285" s="17"/>
      <c r="J2285" s="10"/>
    </row>
    <row r="2286">
      <c r="B2286" s="14"/>
      <c r="C2286" s="15"/>
      <c r="D2286" s="15"/>
      <c r="E2286" s="16"/>
      <c r="G2286" s="17"/>
      <c r="J2286" s="10"/>
    </row>
    <row r="2287">
      <c r="B2287" s="11"/>
      <c r="C2287" s="12"/>
      <c r="D2287" s="12"/>
      <c r="E2287" s="13"/>
      <c r="G2287" s="17"/>
      <c r="J2287" s="10"/>
    </row>
    <row r="2288">
      <c r="B2288" s="14"/>
      <c r="C2288" s="15"/>
      <c r="D2288" s="15"/>
      <c r="E2288" s="16"/>
      <c r="G2288" s="17"/>
      <c r="J2288" s="10"/>
    </row>
    <row r="2289">
      <c r="B2289" s="11"/>
      <c r="C2289" s="12"/>
      <c r="D2289" s="12"/>
      <c r="E2289" s="13"/>
      <c r="G2289" s="17"/>
      <c r="J2289" s="10"/>
    </row>
    <row r="2290">
      <c r="B2290" s="14"/>
      <c r="C2290" s="15"/>
      <c r="D2290" s="15"/>
      <c r="E2290" s="16"/>
      <c r="G2290" s="17"/>
      <c r="J2290" s="10"/>
    </row>
    <row r="2291">
      <c r="B2291" s="11"/>
      <c r="C2291" s="12"/>
      <c r="D2291" s="12"/>
      <c r="E2291" s="13"/>
      <c r="G2291" s="17"/>
      <c r="J2291" s="10"/>
    </row>
    <row r="2292">
      <c r="B2292" s="14"/>
      <c r="C2292" s="15"/>
      <c r="D2292" s="15"/>
      <c r="E2292" s="16"/>
      <c r="G2292" s="17"/>
      <c r="J2292" s="10"/>
    </row>
    <row r="2293">
      <c r="B2293" s="11"/>
      <c r="C2293" s="12"/>
      <c r="D2293" s="12"/>
      <c r="E2293" s="13"/>
      <c r="G2293" s="17"/>
      <c r="J2293" s="10"/>
    </row>
    <row r="2294">
      <c r="B2294" s="14"/>
      <c r="C2294" s="15"/>
      <c r="D2294" s="15"/>
      <c r="E2294" s="16"/>
      <c r="G2294" s="17"/>
      <c r="J2294" s="10"/>
    </row>
    <row r="2295">
      <c r="B2295" s="11"/>
      <c r="C2295" s="12"/>
      <c r="D2295" s="12"/>
      <c r="E2295" s="13"/>
      <c r="G2295" s="17"/>
      <c r="J2295" s="10"/>
    </row>
    <row r="2296">
      <c r="B2296" s="14"/>
      <c r="C2296" s="15"/>
      <c r="D2296" s="15"/>
      <c r="E2296" s="16"/>
      <c r="G2296" s="17"/>
      <c r="J2296" s="10"/>
    </row>
    <row r="2297">
      <c r="B2297" s="11"/>
      <c r="C2297" s="12"/>
      <c r="D2297" s="12"/>
      <c r="E2297" s="13"/>
      <c r="G2297" s="17"/>
      <c r="J2297" s="10"/>
    </row>
    <row r="2298">
      <c r="B2298" s="14"/>
      <c r="C2298" s="15"/>
      <c r="D2298" s="15"/>
      <c r="E2298" s="16"/>
      <c r="G2298" s="17"/>
      <c r="J2298" s="10"/>
    </row>
    <row r="2299">
      <c r="B2299" s="11"/>
      <c r="C2299" s="12"/>
      <c r="D2299" s="12"/>
      <c r="E2299" s="13"/>
      <c r="G2299" s="17"/>
      <c r="J2299" s="10"/>
    </row>
    <row r="2300">
      <c r="B2300" s="14"/>
      <c r="C2300" s="15"/>
      <c r="D2300" s="15"/>
      <c r="E2300" s="16"/>
      <c r="G2300" s="17"/>
      <c r="J2300" s="10"/>
    </row>
    <row r="2301">
      <c r="B2301" s="11"/>
      <c r="C2301" s="12"/>
      <c r="D2301" s="12"/>
      <c r="E2301" s="13"/>
      <c r="G2301" s="17"/>
      <c r="J2301" s="10"/>
    </row>
    <row r="2302">
      <c r="B2302" s="14"/>
      <c r="C2302" s="15"/>
      <c r="D2302" s="15"/>
      <c r="E2302" s="16"/>
      <c r="G2302" s="17"/>
      <c r="J2302" s="10"/>
    </row>
    <row r="2303">
      <c r="B2303" s="11"/>
      <c r="C2303" s="12"/>
      <c r="D2303" s="12"/>
      <c r="E2303" s="13"/>
      <c r="G2303" s="17"/>
      <c r="J2303" s="10"/>
    </row>
    <row r="2304">
      <c r="B2304" s="14"/>
      <c r="C2304" s="15"/>
      <c r="D2304" s="15"/>
      <c r="E2304" s="16"/>
      <c r="G2304" s="17"/>
      <c r="J2304" s="10"/>
    </row>
    <row r="2305">
      <c r="B2305" s="11"/>
      <c r="C2305" s="12"/>
      <c r="D2305" s="12"/>
      <c r="E2305" s="13"/>
      <c r="G2305" s="17"/>
      <c r="J2305" s="10"/>
    </row>
    <row r="2306">
      <c r="B2306" s="14"/>
      <c r="C2306" s="15"/>
      <c r="D2306" s="15"/>
      <c r="E2306" s="16"/>
      <c r="G2306" s="17"/>
      <c r="J2306" s="10"/>
    </row>
    <row r="2307">
      <c r="B2307" s="11"/>
      <c r="C2307" s="12"/>
      <c r="D2307" s="12"/>
      <c r="E2307" s="13"/>
      <c r="G2307" s="17"/>
      <c r="J2307" s="10"/>
    </row>
    <row r="2308">
      <c r="B2308" s="14"/>
      <c r="C2308" s="15"/>
      <c r="D2308" s="15"/>
      <c r="E2308" s="16"/>
      <c r="G2308" s="17"/>
      <c r="J2308" s="10"/>
    </row>
    <row r="2309">
      <c r="B2309" s="11"/>
      <c r="C2309" s="12"/>
      <c r="D2309" s="12"/>
      <c r="E2309" s="13"/>
      <c r="G2309" s="17"/>
      <c r="J2309" s="10"/>
    </row>
    <row r="2310">
      <c r="B2310" s="14"/>
      <c r="C2310" s="15"/>
      <c r="D2310" s="15"/>
      <c r="E2310" s="16"/>
      <c r="G2310" s="17"/>
      <c r="J2310" s="10"/>
    </row>
    <row r="2311">
      <c r="B2311" s="11"/>
      <c r="C2311" s="12"/>
      <c r="D2311" s="12"/>
      <c r="E2311" s="13"/>
      <c r="G2311" s="17"/>
      <c r="J2311" s="10"/>
    </row>
    <row r="2312">
      <c r="B2312" s="14"/>
      <c r="C2312" s="15"/>
      <c r="D2312" s="15"/>
      <c r="E2312" s="16"/>
      <c r="G2312" s="17"/>
      <c r="J2312" s="10"/>
    </row>
    <row r="2313">
      <c r="B2313" s="11"/>
      <c r="C2313" s="12"/>
      <c r="D2313" s="12"/>
      <c r="E2313" s="13"/>
      <c r="G2313" s="17"/>
      <c r="J2313" s="10"/>
    </row>
    <row r="2314">
      <c r="B2314" s="14"/>
      <c r="C2314" s="15"/>
      <c r="D2314" s="15"/>
      <c r="E2314" s="16"/>
      <c r="G2314" s="17"/>
      <c r="J2314" s="10"/>
    </row>
    <row r="2315">
      <c r="B2315" s="11"/>
      <c r="C2315" s="12"/>
      <c r="D2315" s="12"/>
      <c r="E2315" s="13"/>
      <c r="G2315" s="17"/>
      <c r="J2315" s="10"/>
    </row>
    <row r="2316">
      <c r="B2316" s="14"/>
      <c r="C2316" s="15"/>
      <c r="D2316" s="15"/>
      <c r="E2316" s="16"/>
      <c r="G2316" s="17"/>
      <c r="J2316" s="10"/>
    </row>
    <row r="2317">
      <c r="B2317" s="11"/>
      <c r="C2317" s="12"/>
      <c r="D2317" s="12"/>
      <c r="E2317" s="13"/>
      <c r="G2317" s="17"/>
      <c r="J2317" s="10"/>
    </row>
    <row r="2318">
      <c r="B2318" s="14"/>
      <c r="C2318" s="15"/>
      <c r="D2318" s="15"/>
      <c r="E2318" s="16"/>
      <c r="G2318" s="17"/>
      <c r="J2318" s="10"/>
    </row>
    <row r="2319">
      <c r="B2319" s="11"/>
      <c r="C2319" s="12"/>
      <c r="D2319" s="12"/>
      <c r="E2319" s="13"/>
      <c r="G2319" s="17"/>
      <c r="J2319" s="10"/>
    </row>
    <row r="2320">
      <c r="B2320" s="14"/>
      <c r="C2320" s="15"/>
      <c r="D2320" s="15"/>
      <c r="E2320" s="16"/>
      <c r="G2320" s="17"/>
      <c r="J2320" s="10"/>
    </row>
    <row r="2321">
      <c r="B2321" s="11"/>
      <c r="C2321" s="12"/>
      <c r="D2321" s="12"/>
      <c r="E2321" s="13"/>
      <c r="G2321" s="17"/>
      <c r="J2321" s="10"/>
    </row>
    <row r="2322">
      <c r="B2322" s="14"/>
      <c r="C2322" s="15"/>
      <c r="D2322" s="15"/>
      <c r="E2322" s="16"/>
      <c r="G2322" s="17"/>
      <c r="J2322" s="10"/>
    </row>
    <row r="2323">
      <c r="B2323" s="11"/>
      <c r="C2323" s="12"/>
      <c r="D2323" s="12"/>
      <c r="E2323" s="13"/>
      <c r="G2323" s="17"/>
      <c r="J2323" s="10"/>
    </row>
    <row r="2324">
      <c r="B2324" s="14"/>
      <c r="C2324" s="15"/>
      <c r="D2324" s="15"/>
      <c r="E2324" s="16"/>
      <c r="G2324" s="17"/>
      <c r="J2324" s="10"/>
    </row>
    <row r="2325">
      <c r="B2325" s="11"/>
      <c r="C2325" s="12"/>
      <c r="D2325" s="12"/>
      <c r="E2325" s="13"/>
      <c r="G2325" s="17"/>
      <c r="J2325" s="10"/>
    </row>
    <row r="2326">
      <c r="B2326" s="14"/>
      <c r="C2326" s="15"/>
      <c r="D2326" s="15"/>
      <c r="E2326" s="16"/>
      <c r="G2326" s="17"/>
      <c r="J2326" s="10"/>
    </row>
    <row r="2327">
      <c r="B2327" s="11"/>
      <c r="C2327" s="12"/>
      <c r="D2327" s="12"/>
      <c r="E2327" s="13"/>
      <c r="G2327" s="17"/>
      <c r="J2327" s="10"/>
    </row>
    <row r="2328">
      <c r="B2328" s="14"/>
      <c r="C2328" s="15"/>
      <c r="D2328" s="15"/>
      <c r="E2328" s="16"/>
      <c r="G2328" s="17"/>
      <c r="J2328" s="10"/>
    </row>
    <row r="2329">
      <c r="B2329" s="11"/>
      <c r="C2329" s="12"/>
      <c r="D2329" s="12"/>
      <c r="E2329" s="13"/>
      <c r="G2329" s="17"/>
      <c r="J2329" s="10"/>
    </row>
    <row r="2330">
      <c r="B2330" s="14"/>
      <c r="C2330" s="15"/>
      <c r="D2330" s="15"/>
      <c r="E2330" s="16"/>
      <c r="G2330" s="17"/>
      <c r="J2330" s="10"/>
    </row>
    <row r="2331">
      <c r="B2331" s="11"/>
      <c r="C2331" s="12"/>
      <c r="D2331" s="12"/>
      <c r="E2331" s="13"/>
      <c r="G2331" s="17"/>
      <c r="J2331" s="10"/>
    </row>
    <row r="2332">
      <c r="B2332" s="14"/>
      <c r="C2332" s="15"/>
      <c r="D2332" s="15"/>
      <c r="E2332" s="16"/>
      <c r="G2332" s="17"/>
      <c r="J2332" s="10"/>
    </row>
    <row r="2333">
      <c r="B2333" s="11"/>
      <c r="C2333" s="12"/>
      <c r="D2333" s="12"/>
      <c r="E2333" s="13"/>
      <c r="G2333" s="17"/>
      <c r="J2333" s="10"/>
    </row>
    <row r="2334">
      <c r="B2334" s="14"/>
      <c r="C2334" s="15"/>
      <c r="D2334" s="15"/>
      <c r="E2334" s="16"/>
      <c r="G2334" s="17"/>
      <c r="J2334" s="10"/>
    </row>
    <row r="2335">
      <c r="B2335" s="11"/>
      <c r="C2335" s="12"/>
      <c r="D2335" s="12"/>
      <c r="E2335" s="13"/>
      <c r="G2335" s="17"/>
      <c r="J2335" s="10"/>
    </row>
    <row r="2336">
      <c r="B2336" s="14"/>
      <c r="C2336" s="15"/>
      <c r="D2336" s="15"/>
      <c r="E2336" s="16"/>
      <c r="G2336" s="17"/>
      <c r="J2336" s="10"/>
    </row>
    <row r="2337">
      <c r="B2337" s="11"/>
      <c r="C2337" s="12"/>
      <c r="D2337" s="12"/>
      <c r="E2337" s="13"/>
      <c r="G2337" s="17"/>
      <c r="J2337" s="10"/>
    </row>
    <row r="2338">
      <c r="B2338" s="14"/>
      <c r="C2338" s="15"/>
      <c r="D2338" s="15"/>
      <c r="E2338" s="16"/>
      <c r="G2338" s="17"/>
      <c r="J2338" s="10"/>
    </row>
    <row r="2339">
      <c r="B2339" s="11"/>
      <c r="C2339" s="12"/>
      <c r="D2339" s="12"/>
      <c r="E2339" s="13"/>
      <c r="G2339" s="17"/>
      <c r="J2339" s="10"/>
    </row>
    <row r="2340">
      <c r="B2340" s="14"/>
      <c r="C2340" s="15"/>
      <c r="D2340" s="15"/>
      <c r="E2340" s="16"/>
      <c r="G2340" s="17"/>
      <c r="J2340" s="10"/>
    </row>
    <row r="2341">
      <c r="B2341" s="11"/>
      <c r="C2341" s="12"/>
      <c r="D2341" s="12"/>
      <c r="E2341" s="13"/>
      <c r="G2341" s="17"/>
      <c r="J2341" s="10"/>
    </row>
    <row r="2342">
      <c r="B2342" s="14"/>
      <c r="C2342" s="15"/>
      <c r="D2342" s="15"/>
      <c r="E2342" s="16"/>
      <c r="G2342" s="17"/>
      <c r="J2342" s="10"/>
    </row>
    <row r="2343">
      <c r="B2343" s="11"/>
      <c r="C2343" s="12"/>
      <c r="D2343" s="12"/>
      <c r="E2343" s="13"/>
      <c r="G2343" s="17"/>
      <c r="J2343" s="10"/>
    </row>
    <row r="2344">
      <c r="B2344" s="14"/>
      <c r="C2344" s="15"/>
      <c r="D2344" s="15"/>
      <c r="E2344" s="16"/>
      <c r="G2344" s="17"/>
      <c r="J2344" s="10"/>
    </row>
    <row r="2345">
      <c r="B2345" s="11"/>
      <c r="C2345" s="12"/>
      <c r="D2345" s="12"/>
      <c r="E2345" s="13"/>
      <c r="G2345" s="17"/>
      <c r="J2345" s="10"/>
    </row>
    <row r="2346">
      <c r="B2346" s="14"/>
      <c r="C2346" s="15"/>
      <c r="D2346" s="15"/>
      <c r="E2346" s="16"/>
      <c r="G2346" s="17"/>
      <c r="J2346" s="10"/>
    </row>
    <row r="2347">
      <c r="B2347" s="11"/>
      <c r="C2347" s="12"/>
      <c r="D2347" s="12"/>
      <c r="E2347" s="13"/>
      <c r="G2347" s="17"/>
      <c r="J2347" s="10"/>
    </row>
    <row r="2348">
      <c r="B2348" s="14"/>
      <c r="C2348" s="15"/>
      <c r="D2348" s="15"/>
      <c r="E2348" s="16"/>
      <c r="G2348" s="17"/>
      <c r="J2348" s="10"/>
    </row>
    <row r="2349">
      <c r="B2349" s="11"/>
      <c r="C2349" s="12"/>
      <c r="D2349" s="12"/>
      <c r="E2349" s="13"/>
      <c r="G2349" s="17"/>
      <c r="J2349" s="10"/>
    </row>
    <row r="2350">
      <c r="B2350" s="14"/>
      <c r="C2350" s="15"/>
      <c r="D2350" s="15"/>
      <c r="E2350" s="16"/>
      <c r="G2350" s="17"/>
      <c r="J2350" s="10"/>
    </row>
    <row r="2351">
      <c r="B2351" s="11"/>
      <c r="C2351" s="12"/>
      <c r="D2351" s="12"/>
      <c r="E2351" s="13"/>
      <c r="G2351" s="17"/>
      <c r="J2351" s="10"/>
    </row>
    <row r="2352">
      <c r="B2352" s="14"/>
      <c r="C2352" s="15"/>
      <c r="D2352" s="15"/>
      <c r="E2352" s="16"/>
      <c r="G2352" s="17"/>
      <c r="J2352" s="10"/>
    </row>
    <row r="2353">
      <c r="B2353" s="11"/>
      <c r="C2353" s="12"/>
      <c r="D2353" s="12"/>
      <c r="E2353" s="13"/>
      <c r="G2353" s="17"/>
      <c r="J2353" s="10"/>
    </row>
    <row r="2354">
      <c r="B2354" s="14"/>
      <c r="C2354" s="15"/>
      <c r="D2354" s="15"/>
      <c r="E2354" s="16"/>
      <c r="G2354" s="17"/>
      <c r="J2354" s="10"/>
    </row>
    <row r="2355">
      <c r="B2355" s="11"/>
      <c r="C2355" s="12"/>
      <c r="D2355" s="12"/>
      <c r="E2355" s="13"/>
      <c r="G2355" s="17"/>
      <c r="J2355" s="10"/>
    </row>
    <row r="2356">
      <c r="B2356" s="14"/>
      <c r="C2356" s="15"/>
      <c r="D2356" s="15"/>
      <c r="E2356" s="16"/>
      <c r="G2356" s="17"/>
      <c r="J2356" s="10"/>
    </row>
    <row r="2357">
      <c r="B2357" s="11"/>
      <c r="C2357" s="12"/>
      <c r="D2357" s="12"/>
      <c r="E2357" s="13"/>
      <c r="G2357" s="17"/>
      <c r="J2357" s="10"/>
    </row>
    <row r="2358">
      <c r="B2358" s="14"/>
      <c r="C2358" s="15"/>
      <c r="D2358" s="15"/>
      <c r="E2358" s="16"/>
      <c r="G2358" s="17"/>
      <c r="J2358" s="10"/>
    </row>
    <row r="2359">
      <c r="B2359" s="11"/>
      <c r="C2359" s="12"/>
      <c r="D2359" s="12"/>
      <c r="E2359" s="13"/>
      <c r="G2359" s="17"/>
      <c r="J2359" s="10"/>
    </row>
    <row r="2360">
      <c r="B2360" s="14"/>
      <c r="C2360" s="15"/>
      <c r="D2360" s="15"/>
      <c r="E2360" s="16"/>
      <c r="G2360" s="17"/>
      <c r="J2360" s="10"/>
    </row>
    <row r="2361">
      <c r="B2361" s="11"/>
      <c r="C2361" s="12"/>
      <c r="D2361" s="12"/>
      <c r="E2361" s="13"/>
      <c r="G2361" s="17"/>
      <c r="J2361" s="10"/>
    </row>
    <row r="2362">
      <c r="B2362" s="14"/>
      <c r="C2362" s="15"/>
      <c r="D2362" s="15"/>
      <c r="E2362" s="16"/>
      <c r="G2362" s="17"/>
      <c r="J2362" s="10"/>
    </row>
    <row r="2363">
      <c r="B2363" s="11"/>
      <c r="C2363" s="12"/>
      <c r="D2363" s="12"/>
      <c r="E2363" s="13"/>
      <c r="G2363" s="17"/>
      <c r="J2363" s="10"/>
    </row>
    <row r="2364">
      <c r="B2364" s="14"/>
      <c r="C2364" s="15"/>
      <c r="D2364" s="15"/>
      <c r="E2364" s="16"/>
      <c r="G2364" s="17"/>
      <c r="J2364" s="10"/>
    </row>
    <row r="2365">
      <c r="B2365" s="11"/>
      <c r="C2365" s="12"/>
      <c r="D2365" s="12"/>
      <c r="E2365" s="13"/>
      <c r="G2365" s="17"/>
      <c r="J2365" s="10"/>
    </row>
    <row r="2366">
      <c r="B2366" s="14"/>
      <c r="C2366" s="15"/>
      <c r="D2366" s="15"/>
      <c r="E2366" s="16"/>
      <c r="G2366" s="17"/>
      <c r="J2366" s="10"/>
    </row>
    <row r="2367">
      <c r="B2367" s="11"/>
      <c r="C2367" s="12"/>
      <c r="D2367" s="12"/>
      <c r="E2367" s="13"/>
      <c r="G2367" s="17"/>
      <c r="J2367" s="10"/>
    </row>
    <row r="2368">
      <c r="B2368" s="14"/>
      <c r="C2368" s="15"/>
      <c r="D2368" s="15"/>
      <c r="E2368" s="16"/>
      <c r="G2368" s="17"/>
      <c r="J2368" s="10"/>
    </row>
    <row r="2369">
      <c r="B2369" s="11"/>
      <c r="C2369" s="12"/>
      <c r="D2369" s="12"/>
      <c r="E2369" s="13"/>
      <c r="G2369" s="17"/>
      <c r="J2369" s="10"/>
    </row>
    <row r="2370">
      <c r="B2370" s="14"/>
      <c r="C2370" s="15"/>
      <c r="D2370" s="15"/>
      <c r="E2370" s="16"/>
      <c r="G2370" s="17"/>
      <c r="J2370" s="10"/>
    </row>
    <row r="2371">
      <c r="B2371" s="11"/>
      <c r="C2371" s="12"/>
      <c r="D2371" s="12"/>
      <c r="E2371" s="13"/>
      <c r="G2371" s="17"/>
      <c r="J2371" s="10"/>
    </row>
    <row r="2372">
      <c r="B2372" s="14"/>
      <c r="C2372" s="15"/>
      <c r="D2372" s="15"/>
      <c r="E2372" s="16"/>
      <c r="G2372" s="17"/>
      <c r="J2372" s="10"/>
    </row>
    <row r="2373">
      <c r="B2373" s="11"/>
      <c r="C2373" s="12"/>
      <c r="D2373" s="12"/>
      <c r="E2373" s="13"/>
      <c r="G2373" s="17"/>
      <c r="J2373" s="10"/>
    </row>
    <row r="2374">
      <c r="B2374" s="14"/>
      <c r="C2374" s="15"/>
      <c r="D2374" s="15"/>
      <c r="E2374" s="16"/>
      <c r="G2374" s="17"/>
      <c r="J2374" s="10"/>
    </row>
    <row r="2375">
      <c r="B2375" s="11"/>
      <c r="C2375" s="12"/>
      <c r="D2375" s="12"/>
      <c r="E2375" s="13"/>
      <c r="G2375" s="17"/>
      <c r="J2375" s="10"/>
    </row>
    <row r="2376">
      <c r="B2376" s="14"/>
      <c r="C2376" s="15"/>
      <c r="D2376" s="15"/>
      <c r="E2376" s="16"/>
      <c r="G2376" s="17"/>
      <c r="J2376" s="10"/>
    </row>
    <row r="2377">
      <c r="B2377" s="11"/>
      <c r="C2377" s="12"/>
      <c r="D2377" s="12"/>
      <c r="E2377" s="13"/>
      <c r="G2377" s="17"/>
      <c r="J2377" s="10"/>
    </row>
    <row r="2378">
      <c r="B2378" s="14"/>
      <c r="C2378" s="15"/>
      <c r="D2378" s="15"/>
      <c r="E2378" s="16"/>
      <c r="G2378" s="17"/>
      <c r="J2378" s="10"/>
    </row>
    <row r="2379">
      <c r="B2379" s="11"/>
      <c r="C2379" s="12"/>
      <c r="D2379" s="12"/>
      <c r="E2379" s="13"/>
      <c r="G2379" s="17"/>
      <c r="J2379" s="10"/>
    </row>
    <row r="2380">
      <c r="B2380" s="14"/>
      <c r="C2380" s="15"/>
      <c r="D2380" s="15"/>
      <c r="E2380" s="16"/>
      <c r="G2380" s="17"/>
      <c r="J2380" s="10"/>
    </row>
    <row r="2381">
      <c r="B2381" s="11"/>
      <c r="C2381" s="12"/>
      <c r="D2381" s="12"/>
      <c r="E2381" s="13"/>
      <c r="G2381" s="17"/>
      <c r="J2381" s="10"/>
    </row>
    <row r="2382">
      <c r="B2382" s="14"/>
      <c r="C2382" s="15"/>
      <c r="D2382" s="15"/>
      <c r="E2382" s="16"/>
      <c r="G2382" s="17"/>
      <c r="J2382" s="10"/>
    </row>
    <row r="2383">
      <c r="B2383" s="11"/>
      <c r="C2383" s="12"/>
      <c r="D2383" s="12"/>
      <c r="E2383" s="13"/>
      <c r="G2383" s="17"/>
      <c r="J2383" s="10"/>
    </row>
    <row r="2384">
      <c r="B2384" s="14"/>
      <c r="C2384" s="15"/>
      <c r="D2384" s="15"/>
      <c r="E2384" s="16"/>
      <c r="G2384" s="17"/>
      <c r="J2384" s="10"/>
    </row>
    <row r="2385">
      <c r="B2385" s="11"/>
      <c r="C2385" s="12"/>
      <c r="D2385" s="12"/>
      <c r="E2385" s="13"/>
      <c r="G2385" s="17"/>
      <c r="J2385" s="10"/>
    </row>
    <row r="2386">
      <c r="B2386" s="14"/>
      <c r="C2386" s="15"/>
      <c r="D2386" s="15"/>
      <c r="E2386" s="16"/>
      <c r="G2386" s="17"/>
      <c r="J2386" s="10"/>
    </row>
    <row r="2387">
      <c r="B2387" s="11"/>
      <c r="C2387" s="12"/>
      <c r="D2387" s="12"/>
      <c r="E2387" s="13"/>
      <c r="G2387" s="17"/>
      <c r="J2387" s="10"/>
    </row>
    <row r="2388">
      <c r="B2388" s="14"/>
      <c r="C2388" s="15"/>
      <c r="D2388" s="15"/>
      <c r="E2388" s="16"/>
      <c r="G2388" s="17"/>
      <c r="J2388" s="10"/>
    </row>
    <row r="2389">
      <c r="B2389" s="11"/>
      <c r="C2389" s="12"/>
      <c r="D2389" s="12"/>
      <c r="E2389" s="13"/>
      <c r="G2389" s="17"/>
      <c r="J2389" s="10"/>
    </row>
    <row r="2390">
      <c r="B2390" s="14"/>
      <c r="C2390" s="15"/>
      <c r="D2390" s="15"/>
      <c r="E2390" s="16"/>
      <c r="G2390" s="17"/>
      <c r="J2390" s="10"/>
    </row>
    <row r="2391">
      <c r="B2391" s="11"/>
      <c r="C2391" s="12"/>
      <c r="D2391" s="12"/>
      <c r="E2391" s="13"/>
      <c r="G2391" s="17"/>
      <c r="J2391" s="10"/>
    </row>
    <row r="2392">
      <c r="B2392" s="14"/>
      <c r="C2392" s="15"/>
      <c r="D2392" s="15"/>
      <c r="E2392" s="16"/>
      <c r="G2392" s="17"/>
      <c r="J2392" s="10"/>
    </row>
    <row r="2393">
      <c r="B2393" s="11"/>
      <c r="C2393" s="12"/>
      <c r="D2393" s="12"/>
      <c r="E2393" s="13"/>
      <c r="G2393" s="17"/>
      <c r="J2393" s="10"/>
    </row>
    <row r="2394">
      <c r="B2394" s="14"/>
      <c r="C2394" s="15"/>
      <c r="D2394" s="15"/>
      <c r="E2394" s="16"/>
      <c r="G2394" s="17"/>
      <c r="J2394" s="10"/>
    </row>
    <row r="2395">
      <c r="B2395" s="11"/>
      <c r="C2395" s="12"/>
      <c r="D2395" s="12"/>
      <c r="E2395" s="13"/>
      <c r="G2395" s="17"/>
      <c r="J2395" s="10"/>
    </row>
    <row r="2396">
      <c r="B2396" s="14"/>
      <c r="C2396" s="15"/>
      <c r="D2396" s="15"/>
      <c r="E2396" s="16"/>
      <c r="G2396" s="17"/>
      <c r="J2396" s="10"/>
    </row>
    <row r="2397">
      <c r="B2397" s="11"/>
      <c r="C2397" s="12"/>
      <c r="D2397" s="12"/>
      <c r="E2397" s="13"/>
      <c r="G2397" s="17"/>
      <c r="J2397" s="10"/>
    </row>
    <row r="2398">
      <c r="B2398" s="14"/>
      <c r="C2398" s="15"/>
      <c r="D2398" s="15"/>
      <c r="E2398" s="16"/>
      <c r="G2398" s="17"/>
      <c r="J2398" s="10"/>
    </row>
    <row r="2399">
      <c r="B2399" s="11"/>
      <c r="C2399" s="12"/>
      <c r="D2399" s="12"/>
      <c r="E2399" s="13"/>
      <c r="G2399" s="17"/>
      <c r="J2399" s="10"/>
    </row>
    <row r="2400">
      <c r="B2400" s="14"/>
      <c r="C2400" s="15"/>
      <c r="D2400" s="15"/>
      <c r="E2400" s="16"/>
      <c r="G2400" s="17"/>
      <c r="J2400" s="10"/>
    </row>
    <row r="2401">
      <c r="B2401" s="11"/>
      <c r="C2401" s="12"/>
      <c r="D2401" s="12"/>
      <c r="E2401" s="13"/>
      <c r="G2401" s="17"/>
      <c r="J2401" s="10"/>
    </row>
    <row r="2402">
      <c r="B2402" s="14"/>
      <c r="C2402" s="15"/>
      <c r="D2402" s="15"/>
      <c r="E2402" s="16"/>
      <c r="G2402" s="17"/>
      <c r="J2402" s="10"/>
    </row>
    <row r="2403">
      <c r="B2403" s="11"/>
      <c r="C2403" s="12"/>
      <c r="D2403" s="12"/>
      <c r="E2403" s="13"/>
      <c r="G2403" s="17"/>
      <c r="J2403" s="10"/>
    </row>
    <row r="2404">
      <c r="B2404" s="14"/>
      <c r="C2404" s="15"/>
      <c r="D2404" s="15"/>
      <c r="E2404" s="16"/>
      <c r="G2404" s="17"/>
      <c r="J2404" s="10"/>
    </row>
    <row r="2405">
      <c r="B2405" s="11"/>
      <c r="C2405" s="12"/>
      <c r="D2405" s="12"/>
      <c r="E2405" s="13"/>
      <c r="G2405" s="17"/>
      <c r="J2405" s="10"/>
    </row>
    <row r="2406">
      <c r="B2406" s="14"/>
      <c r="C2406" s="15"/>
      <c r="D2406" s="15"/>
      <c r="E2406" s="16"/>
      <c r="G2406" s="17"/>
      <c r="J2406" s="10"/>
    </row>
    <row r="2407">
      <c r="B2407" s="11"/>
      <c r="C2407" s="12"/>
      <c r="D2407" s="12"/>
      <c r="E2407" s="13"/>
      <c r="G2407" s="17"/>
      <c r="J2407" s="10"/>
    </row>
    <row r="2408">
      <c r="B2408" s="14"/>
      <c r="C2408" s="15"/>
      <c r="D2408" s="15"/>
      <c r="E2408" s="16"/>
      <c r="G2408" s="17"/>
      <c r="J2408" s="10"/>
    </row>
    <row r="2409">
      <c r="B2409" s="11"/>
      <c r="C2409" s="12"/>
      <c r="D2409" s="12"/>
      <c r="E2409" s="13"/>
      <c r="G2409" s="17"/>
      <c r="J2409" s="10"/>
    </row>
    <row r="2410">
      <c r="B2410" s="14"/>
      <c r="C2410" s="15"/>
      <c r="D2410" s="15"/>
      <c r="E2410" s="16"/>
      <c r="G2410" s="17"/>
      <c r="J2410" s="10"/>
    </row>
    <row r="2411">
      <c r="B2411" s="11"/>
      <c r="C2411" s="12"/>
      <c r="D2411" s="12"/>
      <c r="E2411" s="13"/>
      <c r="G2411" s="17"/>
      <c r="J2411" s="10"/>
    </row>
    <row r="2412">
      <c r="B2412" s="14"/>
      <c r="C2412" s="15"/>
      <c r="D2412" s="15"/>
      <c r="E2412" s="16"/>
      <c r="G2412" s="17"/>
      <c r="J2412" s="10"/>
    </row>
    <row r="2413">
      <c r="B2413" s="11"/>
      <c r="C2413" s="12"/>
      <c r="D2413" s="12"/>
      <c r="E2413" s="13"/>
      <c r="G2413" s="17"/>
      <c r="J2413" s="10"/>
    </row>
    <row r="2414">
      <c r="B2414" s="14"/>
      <c r="C2414" s="15"/>
      <c r="D2414" s="15"/>
      <c r="E2414" s="16"/>
      <c r="G2414" s="17"/>
      <c r="J2414" s="10"/>
    </row>
    <row r="2415">
      <c r="B2415" s="11"/>
      <c r="C2415" s="12"/>
      <c r="D2415" s="12"/>
      <c r="E2415" s="13"/>
      <c r="G2415" s="17"/>
      <c r="J2415" s="10"/>
    </row>
    <row r="2416">
      <c r="B2416" s="14"/>
      <c r="C2416" s="15"/>
      <c r="D2416" s="15"/>
      <c r="E2416" s="16"/>
      <c r="G2416" s="17"/>
      <c r="J2416" s="10"/>
    </row>
    <row r="2417">
      <c r="B2417" s="11"/>
      <c r="C2417" s="12"/>
      <c r="D2417" s="12"/>
      <c r="E2417" s="13"/>
      <c r="G2417" s="17"/>
      <c r="J2417" s="10"/>
    </row>
    <row r="2418">
      <c r="B2418" s="14"/>
      <c r="C2418" s="15"/>
      <c r="D2418" s="15"/>
      <c r="E2418" s="16"/>
      <c r="G2418" s="17"/>
      <c r="J2418" s="10"/>
    </row>
    <row r="2419">
      <c r="B2419" s="11"/>
      <c r="C2419" s="12"/>
      <c r="D2419" s="12"/>
      <c r="E2419" s="13"/>
      <c r="G2419" s="17"/>
      <c r="J2419" s="10"/>
    </row>
    <row r="2420">
      <c r="B2420" s="14"/>
      <c r="C2420" s="15"/>
      <c r="D2420" s="15"/>
      <c r="E2420" s="16"/>
      <c r="G2420" s="17"/>
      <c r="J2420" s="10"/>
    </row>
    <row r="2421">
      <c r="B2421" s="11"/>
      <c r="C2421" s="12"/>
      <c r="D2421" s="12"/>
      <c r="E2421" s="13"/>
      <c r="G2421" s="17"/>
      <c r="J2421" s="10"/>
    </row>
    <row r="2422">
      <c r="B2422" s="14"/>
      <c r="C2422" s="15"/>
      <c r="D2422" s="15"/>
      <c r="E2422" s="16"/>
      <c r="G2422" s="17"/>
      <c r="J2422" s="10"/>
    </row>
    <row r="2423">
      <c r="B2423" s="11"/>
      <c r="C2423" s="12"/>
      <c r="D2423" s="12"/>
      <c r="E2423" s="13"/>
      <c r="G2423" s="17"/>
      <c r="J2423" s="10"/>
    </row>
    <row r="2424">
      <c r="B2424" s="14"/>
      <c r="C2424" s="15"/>
      <c r="D2424" s="15"/>
      <c r="E2424" s="16"/>
      <c r="G2424" s="17"/>
      <c r="J2424" s="10"/>
    </row>
    <row r="2425">
      <c r="B2425" s="11"/>
      <c r="C2425" s="12"/>
      <c r="D2425" s="12"/>
      <c r="E2425" s="13"/>
      <c r="G2425" s="17"/>
      <c r="J2425" s="10"/>
    </row>
    <row r="2426">
      <c r="B2426" s="14"/>
      <c r="C2426" s="15"/>
      <c r="D2426" s="15"/>
      <c r="E2426" s="16"/>
      <c r="G2426" s="17"/>
      <c r="J2426" s="10"/>
    </row>
    <row r="2427">
      <c r="B2427" s="11"/>
      <c r="C2427" s="12"/>
      <c r="D2427" s="12"/>
      <c r="E2427" s="13"/>
      <c r="G2427" s="17"/>
      <c r="J2427" s="10"/>
    </row>
    <row r="2428">
      <c r="B2428" s="14"/>
      <c r="C2428" s="15"/>
      <c r="D2428" s="15"/>
      <c r="E2428" s="16"/>
      <c r="G2428" s="17"/>
      <c r="J2428" s="10"/>
    </row>
    <row r="2429">
      <c r="B2429" s="11"/>
      <c r="C2429" s="12"/>
      <c r="D2429" s="12"/>
      <c r="E2429" s="13"/>
      <c r="G2429" s="17"/>
      <c r="J2429" s="10"/>
    </row>
    <row r="2430">
      <c r="B2430" s="14"/>
      <c r="C2430" s="15"/>
      <c r="D2430" s="15"/>
      <c r="E2430" s="16"/>
      <c r="G2430" s="17"/>
      <c r="J2430" s="10"/>
    </row>
    <row r="2431">
      <c r="B2431" s="11"/>
      <c r="C2431" s="12"/>
      <c r="D2431" s="12"/>
      <c r="E2431" s="13"/>
      <c r="G2431" s="17"/>
      <c r="J2431" s="10"/>
    </row>
    <row r="2432">
      <c r="B2432" s="14"/>
      <c r="C2432" s="15"/>
      <c r="D2432" s="15"/>
      <c r="E2432" s="16"/>
      <c r="G2432" s="17"/>
      <c r="J2432" s="10"/>
    </row>
    <row r="2433">
      <c r="B2433" s="11"/>
      <c r="C2433" s="12"/>
      <c r="D2433" s="12"/>
      <c r="E2433" s="13"/>
      <c r="G2433" s="17"/>
      <c r="J2433" s="10"/>
    </row>
    <row r="2434">
      <c r="B2434" s="14"/>
      <c r="C2434" s="15"/>
      <c r="D2434" s="15"/>
      <c r="E2434" s="16"/>
      <c r="G2434" s="17"/>
      <c r="J2434" s="10"/>
    </row>
    <row r="2435">
      <c r="B2435" s="11"/>
      <c r="C2435" s="12"/>
      <c r="D2435" s="12"/>
      <c r="E2435" s="13"/>
      <c r="G2435" s="17"/>
      <c r="J2435" s="10"/>
    </row>
    <row r="2436">
      <c r="B2436" s="14"/>
      <c r="C2436" s="15"/>
      <c r="D2436" s="15"/>
      <c r="E2436" s="16"/>
      <c r="G2436" s="17"/>
      <c r="J2436" s="10"/>
    </row>
    <row r="2437">
      <c r="B2437" s="11"/>
      <c r="C2437" s="12"/>
      <c r="D2437" s="12"/>
      <c r="E2437" s="13"/>
      <c r="G2437" s="17"/>
      <c r="J2437" s="10"/>
    </row>
    <row r="2438">
      <c r="B2438" s="14"/>
      <c r="C2438" s="15"/>
      <c r="D2438" s="15"/>
      <c r="E2438" s="16"/>
      <c r="G2438" s="17"/>
      <c r="J2438" s="10"/>
    </row>
    <row r="2439">
      <c r="B2439" s="11"/>
      <c r="C2439" s="12"/>
      <c r="D2439" s="12"/>
      <c r="E2439" s="13"/>
      <c r="G2439" s="17"/>
      <c r="J2439" s="10"/>
    </row>
    <row r="2440">
      <c r="B2440" s="14"/>
      <c r="C2440" s="15"/>
      <c r="D2440" s="15"/>
      <c r="E2440" s="16"/>
      <c r="G2440" s="17"/>
      <c r="J2440" s="10"/>
    </row>
    <row r="2441">
      <c r="B2441" s="11"/>
      <c r="C2441" s="12"/>
      <c r="D2441" s="12"/>
      <c r="E2441" s="13"/>
      <c r="G2441" s="17"/>
      <c r="J2441" s="10"/>
    </row>
    <row r="2442">
      <c r="B2442" s="14"/>
      <c r="C2442" s="15"/>
      <c r="D2442" s="15"/>
      <c r="E2442" s="16"/>
      <c r="G2442" s="17"/>
      <c r="J2442" s="10"/>
    </row>
    <row r="2443">
      <c r="B2443" s="11"/>
      <c r="C2443" s="12"/>
      <c r="D2443" s="12"/>
      <c r="E2443" s="13"/>
      <c r="G2443" s="17"/>
      <c r="J2443" s="10"/>
    </row>
    <row r="2444">
      <c r="B2444" s="14"/>
      <c r="C2444" s="15"/>
      <c r="D2444" s="15"/>
      <c r="E2444" s="16"/>
      <c r="G2444" s="17"/>
      <c r="J2444" s="10"/>
    </row>
    <row r="2445">
      <c r="B2445" s="11"/>
      <c r="C2445" s="12"/>
      <c r="D2445" s="12"/>
      <c r="E2445" s="13"/>
      <c r="G2445" s="17"/>
      <c r="J2445" s="10"/>
    </row>
    <row r="2446">
      <c r="B2446" s="14"/>
      <c r="C2446" s="15"/>
      <c r="D2446" s="15"/>
      <c r="E2446" s="16"/>
      <c r="G2446" s="17"/>
      <c r="J2446" s="10"/>
    </row>
    <row r="2447">
      <c r="B2447" s="11"/>
      <c r="C2447" s="12"/>
      <c r="D2447" s="12"/>
      <c r="E2447" s="13"/>
      <c r="G2447" s="17"/>
      <c r="J2447" s="10"/>
    </row>
    <row r="2448">
      <c r="B2448" s="14"/>
      <c r="C2448" s="15"/>
      <c r="D2448" s="15"/>
      <c r="E2448" s="16"/>
      <c r="G2448" s="17"/>
      <c r="J2448" s="10"/>
    </row>
    <row r="2449">
      <c r="B2449" s="11"/>
      <c r="C2449" s="12"/>
      <c r="D2449" s="12"/>
      <c r="E2449" s="13"/>
      <c r="G2449" s="17"/>
      <c r="J2449" s="10"/>
    </row>
    <row r="2450">
      <c r="B2450" s="14"/>
      <c r="C2450" s="15"/>
      <c r="D2450" s="15"/>
      <c r="E2450" s="16"/>
      <c r="G2450" s="17"/>
      <c r="J2450" s="10"/>
    </row>
    <row r="2451">
      <c r="B2451" s="11"/>
      <c r="C2451" s="12"/>
      <c r="D2451" s="12"/>
      <c r="E2451" s="13"/>
      <c r="G2451" s="17"/>
      <c r="J2451" s="10"/>
    </row>
    <row r="2452">
      <c r="B2452" s="14"/>
      <c r="C2452" s="15"/>
      <c r="D2452" s="15"/>
      <c r="E2452" s="16"/>
      <c r="G2452" s="17"/>
      <c r="J2452" s="10"/>
    </row>
    <row r="2453">
      <c r="B2453" s="11"/>
      <c r="C2453" s="12"/>
      <c r="D2453" s="12"/>
      <c r="E2453" s="13"/>
      <c r="G2453" s="17"/>
      <c r="J2453" s="10"/>
    </row>
    <row r="2454">
      <c r="B2454" s="14"/>
      <c r="C2454" s="15"/>
      <c r="D2454" s="15"/>
      <c r="E2454" s="16"/>
      <c r="G2454" s="17"/>
      <c r="J2454" s="10"/>
    </row>
    <row r="2455">
      <c r="B2455" s="11"/>
      <c r="C2455" s="12"/>
      <c r="D2455" s="12"/>
      <c r="E2455" s="13"/>
      <c r="G2455" s="17"/>
      <c r="J2455" s="10"/>
    </row>
    <row r="2456">
      <c r="B2456" s="14"/>
      <c r="C2456" s="15"/>
      <c r="D2456" s="15"/>
      <c r="E2456" s="16"/>
      <c r="G2456" s="17"/>
      <c r="J2456" s="10"/>
    </row>
    <row r="2457">
      <c r="B2457" s="11"/>
      <c r="C2457" s="12"/>
      <c r="D2457" s="12"/>
      <c r="E2457" s="13"/>
      <c r="G2457" s="17"/>
      <c r="J2457" s="10"/>
    </row>
    <row r="2458">
      <c r="B2458" s="14"/>
      <c r="C2458" s="15"/>
      <c r="D2458" s="15"/>
      <c r="E2458" s="16"/>
      <c r="G2458" s="17"/>
      <c r="J2458" s="10"/>
    </row>
    <row r="2459">
      <c r="B2459" s="11"/>
      <c r="C2459" s="12"/>
      <c r="D2459" s="12"/>
      <c r="E2459" s="13"/>
      <c r="G2459" s="17"/>
      <c r="J2459" s="10"/>
    </row>
    <row r="2460">
      <c r="B2460" s="14"/>
      <c r="C2460" s="15"/>
      <c r="D2460" s="15"/>
      <c r="E2460" s="16"/>
      <c r="G2460" s="17"/>
      <c r="J2460" s="10"/>
    </row>
    <row r="2461">
      <c r="B2461" s="11"/>
      <c r="C2461" s="12"/>
      <c r="D2461" s="12"/>
      <c r="E2461" s="13"/>
      <c r="G2461" s="17"/>
      <c r="J2461" s="10"/>
    </row>
    <row r="2462">
      <c r="B2462" s="14"/>
      <c r="C2462" s="15"/>
      <c r="D2462" s="15"/>
      <c r="E2462" s="16"/>
      <c r="G2462" s="17"/>
      <c r="J2462" s="10"/>
    </row>
    <row r="2463">
      <c r="B2463" s="11"/>
      <c r="C2463" s="12"/>
      <c r="D2463" s="12"/>
      <c r="E2463" s="13"/>
      <c r="G2463" s="17"/>
      <c r="J2463" s="10"/>
    </row>
    <row r="2464">
      <c r="B2464" s="14"/>
      <c r="C2464" s="15"/>
      <c r="D2464" s="15"/>
      <c r="E2464" s="16"/>
      <c r="G2464" s="17"/>
      <c r="J2464" s="10"/>
    </row>
    <row r="2465">
      <c r="B2465" s="11"/>
      <c r="C2465" s="12"/>
      <c r="D2465" s="12"/>
      <c r="E2465" s="13"/>
      <c r="G2465" s="17"/>
      <c r="J2465" s="10"/>
    </row>
    <row r="2466">
      <c r="B2466" s="14"/>
      <c r="C2466" s="15"/>
      <c r="D2466" s="15"/>
      <c r="E2466" s="16"/>
      <c r="G2466" s="17"/>
      <c r="J2466" s="10"/>
    </row>
    <row r="2467">
      <c r="B2467" s="11"/>
      <c r="C2467" s="12"/>
      <c r="D2467" s="12"/>
      <c r="E2467" s="13"/>
      <c r="G2467" s="17"/>
      <c r="J2467" s="10"/>
    </row>
    <row r="2468">
      <c r="B2468" s="14"/>
      <c r="C2468" s="15"/>
      <c r="D2468" s="15"/>
      <c r="E2468" s="16"/>
      <c r="G2468" s="17"/>
      <c r="J2468" s="10"/>
    </row>
    <row r="2469">
      <c r="B2469" s="11"/>
      <c r="C2469" s="12"/>
      <c r="D2469" s="12"/>
      <c r="E2469" s="13"/>
      <c r="G2469" s="17"/>
      <c r="J2469" s="10"/>
    </row>
    <row r="2470">
      <c r="B2470" s="14"/>
      <c r="C2470" s="15"/>
      <c r="D2470" s="15"/>
      <c r="E2470" s="16"/>
      <c r="G2470" s="17"/>
      <c r="J2470" s="10"/>
    </row>
    <row r="2471">
      <c r="B2471" s="11"/>
      <c r="C2471" s="12"/>
      <c r="D2471" s="12"/>
      <c r="E2471" s="13"/>
      <c r="G2471" s="17"/>
      <c r="J2471" s="10"/>
    </row>
    <row r="2472">
      <c r="B2472" s="14"/>
      <c r="C2472" s="15"/>
      <c r="D2472" s="15"/>
      <c r="E2472" s="16"/>
      <c r="G2472" s="17"/>
      <c r="J2472" s="10"/>
    </row>
    <row r="2473">
      <c r="B2473" s="11"/>
      <c r="C2473" s="12"/>
      <c r="D2473" s="12"/>
      <c r="E2473" s="13"/>
      <c r="G2473" s="17"/>
      <c r="J2473" s="10"/>
    </row>
    <row r="2474">
      <c r="B2474" s="14"/>
      <c r="C2474" s="15"/>
      <c r="D2474" s="15"/>
      <c r="E2474" s="16"/>
      <c r="G2474" s="17"/>
      <c r="J2474" s="10"/>
    </row>
    <row r="2475">
      <c r="B2475" s="11"/>
      <c r="C2475" s="12"/>
      <c r="D2475" s="12"/>
      <c r="E2475" s="13"/>
      <c r="G2475" s="17"/>
      <c r="J2475" s="10"/>
    </row>
    <row r="2476">
      <c r="B2476" s="14"/>
      <c r="C2476" s="15"/>
      <c r="D2476" s="15"/>
      <c r="E2476" s="16"/>
      <c r="G2476" s="17"/>
      <c r="J2476" s="10"/>
    </row>
    <row r="2477">
      <c r="B2477" s="11"/>
      <c r="C2477" s="12"/>
      <c r="D2477" s="12"/>
      <c r="E2477" s="13"/>
      <c r="G2477" s="17"/>
      <c r="J2477" s="10"/>
    </row>
    <row r="2478">
      <c r="B2478" s="14"/>
      <c r="C2478" s="15"/>
      <c r="D2478" s="15"/>
      <c r="E2478" s="16"/>
      <c r="G2478" s="17"/>
      <c r="J2478" s="10"/>
    </row>
    <row r="2479">
      <c r="B2479" s="11"/>
      <c r="C2479" s="12"/>
      <c r="D2479" s="12"/>
      <c r="E2479" s="13"/>
      <c r="G2479" s="17"/>
      <c r="J2479" s="10"/>
    </row>
    <row r="2480">
      <c r="B2480" s="14"/>
      <c r="C2480" s="15"/>
      <c r="D2480" s="15"/>
      <c r="E2480" s="16"/>
      <c r="G2480" s="17"/>
      <c r="J2480" s="10"/>
    </row>
    <row r="2481">
      <c r="B2481" s="11"/>
      <c r="C2481" s="12"/>
      <c r="D2481" s="12"/>
      <c r="E2481" s="13"/>
      <c r="G2481" s="17"/>
      <c r="J2481" s="10"/>
    </row>
    <row r="2482">
      <c r="B2482" s="14"/>
      <c r="C2482" s="15"/>
      <c r="D2482" s="15"/>
      <c r="E2482" s="16"/>
      <c r="G2482" s="17"/>
      <c r="J2482" s="10"/>
    </row>
    <row r="2483">
      <c r="B2483" s="11"/>
      <c r="C2483" s="12"/>
      <c r="D2483" s="12"/>
      <c r="E2483" s="13"/>
      <c r="G2483" s="17"/>
      <c r="J2483" s="10"/>
    </row>
    <row r="2484">
      <c r="B2484" s="14"/>
      <c r="C2484" s="15"/>
      <c r="D2484" s="15"/>
      <c r="E2484" s="16"/>
      <c r="G2484" s="17"/>
      <c r="J2484" s="10"/>
    </row>
    <row r="2485">
      <c r="B2485" s="11"/>
      <c r="C2485" s="12"/>
      <c r="D2485" s="12"/>
      <c r="E2485" s="13"/>
      <c r="G2485" s="17"/>
      <c r="J2485" s="10"/>
    </row>
    <row r="2486">
      <c r="B2486" s="14"/>
      <c r="C2486" s="15"/>
      <c r="D2486" s="15"/>
      <c r="E2486" s="16"/>
      <c r="G2486" s="17"/>
      <c r="J2486" s="10"/>
    </row>
    <row r="2487">
      <c r="B2487" s="11"/>
      <c r="C2487" s="12"/>
      <c r="D2487" s="12"/>
      <c r="E2487" s="13"/>
      <c r="G2487" s="17"/>
      <c r="J2487" s="10"/>
    </row>
    <row r="2488">
      <c r="B2488" s="14"/>
      <c r="C2488" s="15"/>
      <c r="D2488" s="15"/>
      <c r="E2488" s="16"/>
      <c r="G2488" s="17"/>
      <c r="J2488" s="10"/>
    </row>
    <row r="2489">
      <c r="B2489" s="11"/>
      <c r="C2489" s="12"/>
      <c r="D2489" s="12"/>
      <c r="E2489" s="13"/>
      <c r="G2489" s="17"/>
      <c r="J2489" s="10"/>
    </row>
    <row r="2490">
      <c r="B2490" s="14"/>
      <c r="C2490" s="15"/>
      <c r="D2490" s="15"/>
      <c r="E2490" s="16"/>
      <c r="G2490" s="17"/>
      <c r="J2490" s="10"/>
    </row>
    <row r="2491">
      <c r="B2491" s="11"/>
      <c r="C2491" s="12"/>
      <c r="D2491" s="12"/>
      <c r="E2491" s="13"/>
      <c r="G2491" s="17"/>
      <c r="J2491" s="10"/>
    </row>
    <row r="2492">
      <c r="B2492" s="14"/>
      <c r="C2492" s="15"/>
      <c r="D2492" s="15"/>
      <c r="E2492" s="16"/>
      <c r="G2492" s="17"/>
      <c r="J2492" s="10"/>
    </row>
    <row r="2493">
      <c r="B2493" s="11"/>
      <c r="C2493" s="12"/>
      <c r="D2493" s="12"/>
      <c r="E2493" s="13"/>
      <c r="G2493" s="17"/>
      <c r="J2493" s="10"/>
    </row>
    <row r="2494">
      <c r="B2494" s="14"/>
      <c r="C2494" s="15"/>
      <c r="D2494" s="15"/>
      <c r="E2494" s="16"/>
      <c r="G2494" s="17"/>
      <c r="J2494" s="10"/>
    </row>
    <row r="2495">
      <c r="B2495" s="11"/>
      <c r="C2495" s="12"/>
      <c r="D2495" s="12"/>
      <c r="E2495" s="13"/>
      <c r="G2495" s="17"/>
      <c r="J2495" s="10"/>
    </row>
    <row r="2496">
      <c r="B2496" s="14"/>
      <c r="C2496" s="15"/>
      <c r="D2496" s="15"/>
      <c r="E2496" s="16"/>
      <c r="G2496" s="17"/>
      <c r="J2496" s="10"/>
    </row>
    <row r="2497">
      <c r="B2497" s="11"/>
      <c r="C2497" s="12"/>
      <c r="D2497" s="12"/>
      <c r="E2497" s="13"/>
      <c r="G2497" s="17"/>
      <c r="J2497" s="10"/>
    </row>
    <row r="2498">
      <c r="B2498" s="14"/>
      <c r="C2498" s="15"/>
      <c r="D2498" s="15"/>
      <c r="E2498" s="16"/>
      <c r="G2498" s="17"/>
      <c r="J2498" s="10"/>
    </row>
    <row r="2499">
      <c r="B2499" s="11"/>
      <c r="C2499" s="12"/>
      <c r="D2499" s="12"/>
      <c r="E2499" s="13"/>
      <c r="G2499" s="17"/>
      <c r="J2499" s="10"/>
    </row>
    <row r="2500">
      <c r="B2500" s="14"/>
      <c r="C2500" s="15"/>
      <c r="D2500" s="15"/>
      <c r="E2500" s="16"/>
      <c r="G2500" s="17"/>
      <c r="J2500" s="10"/>
    </row>
    <row r="2501">
      <c r="B2501" s="11"/>
      <c r="C2501" s="12"/>
      <c r="D2501" s="12"/>
      <c r="E2501" s="13"/>
      <c r="G2501" s="17"/>
      <c r="J2501" s="10"/>
    </row>
    <row r="2502">
      <c r="B2502" s="14"/>
      <c r="C2502" s="15"/>
      <c r="D2502" s="15"/>
      <c r="E2502" s="16"/>
      <c r="G2502" s="17"/>
      <c r="J2502" s="10"/>
    </row>
    <row r="2503">
      <c r="B2503" s="11"/>
      <c r="C2503" s="12"/>
      <c r="D2503" s="12"/>
      <c r="E2503" s="13"/>
      <c r="G2503" s="17"/>
      <c r="J2503" s="10"/>
    </row>
    <row r="2504">
      <c r="B2504" s="14"/>
      <c r="C2504" s="15"/>
      <c r="D2504" s="15"/>
      <c r="E2504" s="16"/>
      <c r="G2504" s="17"/>
      <c r="J2504" s="10"/>
    </row>
    <row r="2505">
      <c r="B2505" s="11"/>
      <c r="C2505" s="12"/>
      <c r="D2505" s="12"/>
      <c r="E2505" s="13"/>
      <c r="G2505" s="17"/>
      <c r="J2505" s="10"/>
    </row>
    <row r="2506">
      <c r="B2506" s="14"/>
      <c r="C2506" s="15"/>
      <c r="D2506" s="15"/>
      <c r="E2506" s="16"/>
      <c r="G2506" s="17"/>
      <c r="J2506" s="10"/>
    </row>
    <row r="2507">
      <c r="B2507" s="11"/>
      <c r="C2507" s="12"/>
      <c r="D2507" s="12"/>
      <c r="E2507" s="13"/>
      <c r="G2507" s="17"/>
      <c r="J2507" s="10"/>
    </row>
    <row r="2508">
      <c r="B2508" s="14"/>
      <c r="C2508" s="15"/>
      <c r="D2508" s="15"/>
      <c r="E2508" s="16"/>
      <c r="G2508" s="17"/>
      <c r="J2508" s="10"/>
    </row>
    <row r="2509">
      <c r="B2509" s="11"/>
      <c r="C2509" s="12"/>
      <c r="D2509" s="12"/>
      <c r="E2509" s="13"/>
      <c r="G2509" s="17"/>
      <c r="J2509" s="10"/>
    </row>
    <row r="2510">
      <c r="B2510" s="14"/>
      <c r="C2510" s="15"/>
      <c r="D2510" s="15"/>
      <c r="E2510" s="16"/>
      <c r="G2510" s="17"/>
      <c r="J2510" s="10"/>
    </row>
    <row r="2511">
      <c r="B2511" s="11"/>
      <c r="C2511" s="12"/>
      <c r="D2511" s="12"/>
      <c r="E2511" s="13"/>
      <c r="G2511" s="17"/>
      <c r="J2511" s="10"/>
    </row>
    <row r="2512">
      <c r="B2512" s="14"/>
      <c r="C2512" s="15"/>
      <c r="D2512" s="15"/>
      <c r="E2512" s="16"/>
      <c r="G2512" s="17"/>
      <c r="J2512" s="10"/>
    </row>
    <row r="2513">
      <c r="B2513" s="11"/>
      <c r="C2513" s="12"/>
      <c r="D2513" s="12"/>
      <c r="E2513" s="13"/>
      <c r="G2513" s="17"/>
      <c r="J2513" s="10"/>
    </row>
    <row r="2514">
      <c r="B2514" s="14"/>
      <c r="C2514" s="15"/>
      <c r="D2514" s="15"/>
      <c r="E2514" s="16"/>
      <c r="G2514" s="17"/>
      <c r="J2514" s="10"/>
    </row>
    <row r="2515">
      <c r="B2515" s="11"/>
      <c r="C2515" s="12"/>
      <c r="D2515" s="12"/>
      <c r="E2515" s="13"/>
      <c r="G2515" s="17"/>
      <c r="J2515" s="10"/>
    </row>
    <row r="2516">
      <c r="B2516" s="14"/>
      <c r="C2516" s="15"/>
      <c r="D2516" s="15"/>
      <c r="E2516" s="16"/>
      <c r="G2516" s="17"/>
      <c r="J2516" s="10"/>
    </row>
    <row r="2517">
      <c r="B2517" s="11"/>
      <c r="C2517" s="12"/>
      <c r="D2517" s="12"/>
      <c r="E2517" s="13"/>
      <c r="G2517" s="17"/>
      <c r="J2517" s="10"/>
    </row>
    <row r="2518">
      <c r="B2518" s="14"/>
      <c r="C2518" s="15"/>
      <c r="D2518" s="15"/>
      <c r="E2518" s="16"/>
      <c r="G2518" s="17"/>
      <c r="J2518" s="10"/>
    </row>
    <row r="2519">
      <c r="B2519" s="11"/>
      <c r="C2519" s="12"/>
      <c r="D2519" s="12"/>
      <c r="E2519" s="13"/>
      <c r="G2519" s="17"/>
      <c r="J2519" s="10"/>
    </row>
    <row r="2520">
      <c r="B2520" s="14"/>
      <c r="C2520" s="15"/>
      <c r="D2520" s="15"/>
      <c r="E2520" s="16"/>
      <c r="G2520" s="17"/>
      <c r="J2520" s="10"/>
    </row>
    <row r="2521">
      <c r="B2521" s="11"/>
      <c r="C2521" s="12"/>
      <c r="D2521" s="12"/>
      <c r="E2521" s="13"/>
      <c r="G2521" s="17"/>
      <c r="J2521" s="10"/>
    </row>
    <row r="2522">
      <c r="B2522" s="14"/>
      <c r="C2522" s="15"/>
      <c r="D2522" s="15"/>
      <c r="E2522" s="16"/>
      <c r="G2522" s="17"/>
      <c r="J2522" s="10"/>
    </row>
    <row r="2523">
      <c r="B2523" s="11"/>
      <c r="C2523" s="12"/>
      <c r="D2523" s="12"/>
      <c r="E2523" s="13"/>
      <c r="G2523" s="17"/>
      <c r="J2523" s="10"/>
    </row>
    <row r="2524">
      <c r="B2524" s="14"/>
      <c r="C2524" s="15"/>
      <c r="D2524" s="15"/>
      <c r="E2524" s="16"/>
      <c r="G2524" s="17"/>
      <c r="J2524" s="10"/>
    </row>
    <row r="2525">
      <c r="B2525" s="11"/>
      <c r="C2525" s="12"/>
      <c r="D2525" s="12"/>
      <c r="E2525" s="13"/>
      <c r="G2525" s="17"/>
      <c r="J2525" s="10"/>
    </row>
    <row r="2526">
      <c r="B2526" s="14"/>
      <c r="C2526" s="15"/>
      <c r="D2526" s="15"/>
      <c r="E2526" s="16"/>
      <c r="G2526" s="17"/>
      <c r="J2526" s="10"/>
    </row>
    <row r="2527">
      <c r="B2527" s="11"/>
      <c r="C2527" s="12"/>
      <c r="D2527" s="12"/>
      <c r="E2527" s="13"/>
      <c r="G2527" s="17"/>
      <c r="J2527" s="10"/>
    </row>
    <row r="2528">
      <c r="B2528" s="14"/>
      <c r="C2528" s="15"/>
      <c r="D2528" s="15"/>
      <c r="E2528" s="16"/>
      <c r="G2528" s="17"/>
      <c r="J2528" s="10"/>
    </row>
    <row r="2529">
      <c r="B2529" s="11"/>
      <c r="C2529" s="12"/>
      <c r="D2529" s="12"/>
      <c r="E2529" s="13"/>
      <c r="G2529" s="17"/>
      <c r="J2529" s="10"/>
    </row>
    <row r="2530">
      <c r="B2530" s="14"/>
      <c r="C2530" s="15"/>
      <c r="D2530" s="15"/>
      <c r="E2530" s="16"/>
      <c r="G2530" s="17"/>
      <c r="J2530" s="10"/>
    </row>
    <row r="2531">
      <c r="B2531" s="11"/>
      <c r="C2531" s="12"/>
      <c r="D2531" s="12"/>
      <c r="E2531" s="13"/>
      <c r="G2531" s="17"/>
      <c r="J2531" s="10"/>
    </row>
    <row r="2532">
      <c r="B2532" s="14"/>
      <c r="C2532" s="15"/>
      <c r="D2532" s="15"/>
      <c r="E2532" s="16"/>
      <c r="G2532" s="17"/>
      <c r="J2532" s="10"/>
    </row>
    <row r="2533">
      <c r="B2533" s="11"/>
      <c r="C2533" s="12"/>
      <c r="D2533" s="12"/>
      <c r="E2533" s="13"/>
      <c r="G2533" s="17"/>
      <c r="J2533" s="10"/>
    </row>
    <row r="2534">
      <c r="B2534" s="14"/>
      <c r="C2534" s="15"/>
      <c r="D2534" s="15"/>
      <c r="E2534" s="16"/>
      <c r="G2534" s="17"/>
      <c r="J2534" s="10"/>
    </row>
    <row r="2535">
      <c r="B2535" s="11"/>
      <c r="C2535" s="12"/>
      <c r="D2535" s="12"/>
      <c r="E2535" s="13"/>
      <c r="G2535" s="17"/>
      <c r="J2535" s="10"/>
    </row>
    <row r="2536">
      <c r="B2536" s="14"/>
      <c r="C2536" s="15"/>
      <c r="D2536" s="15"/>
      <c r="E2536" s="16"/>
      <c r="G2536" s="17"/>
      <c r="J2536" s="10"/>
    </row>
    <row r="2537">
      <c r="B2537" s="11"/>
      <c r="C2537" s="12"/>
      <c r="D2537" s="12"/>
      <c r="E2537" s="13"/>
      <c r="G2537" s="17"/>
      <c r="J2537" s="10"/>
    </row>
    <row r="2538">
      <c r="B2538" s="14"/>
      <c r="C2538" s="15"/>
      <c r="D2538" s="15"/>
      <c r="E2538" s="16"/>
      <c r="G2538" s="17"/>
      <c r="J2538" s="10"/>
    </row>
    <row r="2539">
      <c r="B2539" s="11"/>
      <c r="C2539" s="12"/>
      <c r="D2539" s="12"/>
      <c r="E2539" s="13"/>
      <c r="G2539" s="17"/>
      <c r="J2539" s="10"/>
    </row>
    <row r="2540">
      <c r="B2540" s="14"/>
      <c r="C2540" s="15"/>
      <c r="D2540" s="15"/>
      <c r="E2540" s="16"/>
      <c r="G2540" s="17"/>
      <c r="J2540" s="10"/>
    </row>
    <row r="2541">
      <c r="B2541" s="11"/>
      <c r="C2541" s="12"/>
      <c r="D2541" s="12"/>
      <c r="E2541" s="13"/>
      <c r="G2541" s="17"/>
      <c r="J2541" s="10"/>
    </row>
    <row r="2542">
      <c r="B2542" s="14"/>
      <c r="C2542" s="15"/>
      <c r="D2542" s="15"/>
      <c r="E2542" s="16"/>
      <c r="G2542" s="17"/>
      <c r="J2542" s="10"/>
    </row>
    <row r="2543">
      <c r="B2543" s="11"/>
      <c r="C2543" s="12"/>
      <c r="D2543" s="12"/>
      <c r="E2543" s="13"/>
      <c r="G2543" s="17"/>
      <c r="J2543" s="10"/>
    </row>
    <row r="2544">
      <c r="B2544" s="14"/>
      <c r="C2544" s="15"/>
      <c r="D2544" s="15"/>
      <c r="E2544" s="16"/>
      <c r="G2544" s="17"/>
      <c r="J2544" s="10"/>
    </row>
    <row r="2545">
      <c r="B2545" s="11"/>
      <c r="C2545" s="12"/>
      <c r="D2545" s="12"/>
      <c r="E2545" s="13"/>
      <c r="G2545" s="17"/>
      <c r="J2545" s="10"/>
    </row>
    <row r="2546">
      <c r="B2546" s="14"/>
      <c r="C2546" s="15"/>
      <c r="D2546" s="15"/>
      <c r="E2546" s="16"/>
      <c r="G2546" s="17"/>
      <c r="J2546" s="10"/>
    </row>
    <row r="2547">
      <c r="B2547" s="11"/>
      <c r="C2547" s="12"/>
      <c r="D2547" s="12"/>
      <c r="E2547" s="13"/>
      <c r="G2547" s="17"/>
      <c r="J2547" s="10"/>
    </row>
    <row r="2548">
      <c r="B2548" s="14"/>
      <c r="C2548" s="15"/>
      <c r="D2548" s="15"/>
      <c r="E2548" s="16"/>
      <c r="G2548" s="17"/>
      <c r="J2548" s="10"/>
    </row>
    <row r="2549">
      <c r="B2549" s="11"/>
      <c r="C2549" s="12"/>
      <c r="D2549" s="12"/>
      <c r="E2549" s="13"/>
      <c r="G2549" s="17"/>
      <c r="J2549" s="10"/>
    </row>
    <row r="2550">
      <c r="B2550" s="14"/>
      <c r="C2550" s="15"/>
      <c r="D2550" s="15"/>
      <c r="E2550" s="16"/>
      <c r="G2550" s="17"/>
      <c r="J2550" s="10"/>
    </row>
    <row r="2551">
      <c r="B2551" s="11"/>
      <c r="C2551" s="12"/>
      <c r="D2551" s="12"/>
      <c r="E2551" s="13"/>
      <c r="G2551" s="17"/>
      <c r="J2551" s="10"/>
    </row>
    <row r="2552">
      <c r="B2552" s="14"/>
      <c r="C2552" s="15"/>
      <c r="D2552" s="15"/>
      <c r="E2552" s="16"/>
      <c r="G2552" s="17"/>
      <c r="J2552" s="10"/>
    </row>
    <row r="2553">
      <c r="B2553" s="11"/>
      <c r="C2553" s="12"/>
      <c r="D2553" s="12"/>
      <c r="E2553" s="13"/>
      <c r="G2553" s="17"/>
      <c r="J2553" s="10"/>
    </row>
    <row r="2554">
      <c r="B2554" s="14"/>
      <c r="C2554" s="15"/>
      <c r="D2554" s="15"/>
      <c r="E2554" s="16"/>
      <c r="G2554" s="17"/>
      <c r="J2554" s="10"/>
    </row>
    <row r="2555">
      <c r="B2555" s="11"/>
      <c r="C2555" s="12"/>
      <c r="D2555" s="12"/>
      <c r="E2555" s="13"/>
      <c r="G2555" s="17"/>
      <c r="J2555" s="10"/>
    </row>
    <row r="2556">
      <c r="B2556" s="14"/>
      <c r="C2556" s="15"/>
      <c r="D2556" s="15"/>
      <c r="E2556" s="16"/>
      <c r="G2556" s="17"/>
      <c r="J2556" s="10"/>
    </row>
    <row r="2557">
      <c r="B2557" s="11"/>
      <c r="C2557" s="12"/>
      <c r="D2557" s="12"/>
      <c r="E2557" s="13"/>
      <c r="G2557" s="17"/>
      <c r="J2557" s="10"/>
    </row>
    <row r="2558">
      <c r="B2558" s="14"/>
      <c r="C2558" s="15"/>
      <c r="D2558" s="15"/>
      <c r="E2558" s="16"/>
      <c r="G2558" s="17"/>
      <c r="J2558" s="10"/>
    </row>
    <row r="2559">
      <c r="B2559" s="11"/>
      <c r="C2559" s="12"/>
      <c r="D2559" s="12"/>
      <c r="E2559" s="13"/>
      <c r="G2559" s="17"/>
      <c r="J2559" s="10"/>
    </row>
    <row r="2560">
      <c r="B2560" s="14"/>
      <c r="C2560" s="15"/>
      <c r="D2560" s="15"/>
      <c r="E2560" s="16"/>
      <c r="G2560" s="17"/>
      <c r="J2560" s="10"/>
    </row>
    <row r="2561">
      <c r="B2561" s="11"/>
      <c r="C2561" s="12"/>
      <c r="D2561" s="12"/>
      <c r="E2561" s="13"/>
      <c r="G2561" s="17"/>
      <c r="J2561" s="10"/>
    </row>
    <row r="2562">
      <c r="B2562" s="14"/>
      <c r="C2562" s="15"/>
      <c r="D2562" s="15"/>
      <c r="E2562" s="16"/>
      <c r="G2562" s="17"/>
      <c r="J2562" s="10"/>
    </row>
    <row r="2563">
      <c r="B2563" s="11"/>
      <c r="C2563" s="12"/>
      <c r="D2563" s="12"/>
      <c r="E2563" s="13"/>
      <c r="G2563" s="17"/>
      <c r="J2563" s="10"/>
    </row>
    <row r="2564">
      <c r="B2564" s="14"/>
      <c r="C2564" s="15"/>
      <c r="D2564" s="15"/>
      <c r="E2564" s="16"/>
      <c r="G2564" s="17"/>
      <c r="J2564" s="10"/>
    </row>
    <row r="2565">
      <c r="B2565" s="11"/>
      <c r="C2565" s="12"/>
      <c r="D2565" s="12"/>
      <c r="E2565" s="13"/>
      <c r="G2565" s="17"/>
      <c r="J2565" s="10"/>
    </row>
    <row r="2566">
      <c r="B2566" s="14"/>
      <c r="C2566" s="15"/>
      <c r="D2566" s="15"/>
      <c r="E2566" s="16"/>
      <c r="G2566" s="17"/>
      <c r="J2566" s="10"/>
    </row>
    <row r="2567">
      <c r="B2567" s="11"/>
      <c r="C2567" s="12"/>
      <c r="D2567" s="12"/>
      <c r="E2567" s="13"/>
      <c r="G2567" s="17"/>
      <c r="J2567" s="10"/>
    </row>
    <row r="2568">
      <c r="B2568" s="14"/>
      <c r="C2568" s="15"/>
      <c r="D2568" s="15"/>
      <c r="E2568" s="16"/>
      <c r="G2568" s="17"/>
      <c r="J2568" s="10"/>
    </row>
    <row r="2569">
      <c r="B2569" s="11"/>
      <c r="C2569" s="12"/>
      <c r="D2569" s="12"/>
      <c r="E2569" s="13"/>
      <c r="G2569" s="17"/>
      <c r="J2569" s="10"/>
    </row>
    <row r="2570">
      <c r="B2570" s="14"/>
      <c r="C2570" s="15"/>
      <c r="D2570" s="15"/>
      <c r="E2570" s="16"/>
      <c r="G2570" s="17"/>
      <c r="J2570" s="10"/>
    </row>
    <row r="2571">
      <c r="B2571" s="11"/>
      <c r="C2571" s="12"/>
      <c r="D2571" s="12"/>
      <c r="E2571" s="13"/>
      <c r="G2571" s="17"/>
      <c r="J2571" s="10"/>
    </row>
    <row r="2572">
      <c r="B2572" s="14"/>
      <c r="C2572" s="15"/>
      <c r="D2572" s="15"/>
      <c r="E2572" s="16"/>
      <c r="G2572" s="17"/>
      <c r="J2572" s="10"/>
    </row>
    <row r="2573">
      <c r="B2573" s="11"/>
      <c r="C2573" s="12"/>
      <c r="D2573" s="12"/>
      <c r="E2573" s="13"/>
      <c r="G2573" s="17"/>
      <c r="J2573" s="10"/>
    </row>
    <row r="2574">
      <c r="B2574" s="14"/>
      <c r="C2574" s="15"/>
      <c r="D2574" s="15"/>
      <c r="E2574" s="16"/>
      <c r="G2574" s="17"/>
      <c r="J2574" s="10"/>
    </row>
    <row r="2575">
      <c r="B2575" s="11"/>
      <c r="C2575" s="12"/>
      <c r="D2575" s="12"/>
      <c r="E2575" s="13"/>
      <c r="G2575" s="17"/>
      <c r="J2575" s="10"/>
    </row>
    <row r="2576">
      <c r="B2576" s="14"/>
      <c r="C2576" s="15"/>
      <c r="D2576" s="15"/>
      <c r="E2576" s="16"/>
      <c r="G2576" s="17"/>
      <c r="J2576" s="10"/>
    </row>
    <row r="2577">
      <c r="B2577" s="11"/>
      <c r="C2577" s="12"/>
      <c r="D2577" s="12"/>
      <c r="E2577" s="13"/>
      <c r="G2577" s="17"/>
      <c r="J2577" s="10"/>
    </row>
    <row r="2578">
      <c r="B2578" s="14"/>
      <c r="C2578" s="15"/>
      <c r="D2578" s="15"/>
      <c r="E2578" s="16"/>
      <c r="G2578" s="17"/>
      <c r="J2578" s="10"/>
    </row>
    <row r="2579">
      <c r="B2579" s="11"/>
      <c r="C2579" s="12"/>
      <c r="D2579" s="12"/>
      <c r="E2579" s="13"/>
      <c r="G2579" s="17"/>
      <c r="J2579" s="10"/>
    </row>
    <row r="2580">
      <c r="B2580" s="14"/>
      <c r="C2580" s="15"/>
      <c r="D2580" s="15"/>
      <c r="E2580" s="16"/>
      <c r="G2580" s="17"/>
      <c r="J2580" s="10"/>
    </row>
    <row r="2581">
      <c r="B2581" s="11"/>
      <c r="C2581" s="12"/>
      <c r="D2581" s="12"/>
      <c r="E2581" s="13"/>
      <c r="G2581" s="17"/>
      <c r="J2581" s="10"/>
    </row>
    <row r="2582">
      <c r="B2582" s="14"/>
      <c r="C2582" s="15"/>
      <c r="D2582" s="15"/>
      <c r="E2582" s="16"/>
      <c r="G2582" s="17"/>
      <c r="J2582" s="10"/>
    </row>
    <row r="2583">
      <c r="B2583" s="11"/>
      <c r="C2583" s="12"/>
      <c r="D2583" s="12"/>
      <c r="E2583" s="13"/>
      <c r="G2583" s="17"/>
      <c r="J2583" s="10"/>
    </row>
    <row r="2584">
      <c r="B2584" s="14"/>
      <c r="C2584" s="15"/>
      <c r="D2584" s="15"/>
      <c r="E2584" s="16"/>
      <c r="G2584" s="17"/>
      <c r="J2584" s="10"/>
    </row>
    <row r="2585">
      <c r="B2585" s="11"/>
      <c r="C2585" s="12"/>
      <c r="D2585" s="12"/>
      <c r="E2585" s="13"/>
      <c r="G2585" s="17"/>
      <c r="J2585" s="10"/>
    </row>
    <row r="2586">
      <c r="B2586" s="14"/>
      <c r="C2586" s="15"/>
      <c r="D2586" s="15"/>
      <c r="E2586" s="16"/>
      <c r="G2586" s="17"/>
      <c r="J2586" s="10"/>
    </row>
    <row r="2587">
      <c r="B2587" s="11"/>
      <c r="C2587" s="12"/>
      <c r="D2587" s="12"/>
      <c r="E2587" s="13"/>
      <c r="G2587" s="17"/>
      <c r="J2587" s="10"/>
    </row>
    <row r="2588">
      <c r="B2588" s="14"/>
      <c r="C2588" s="15"/>
      <c r="D2588" s="15"/>
      <c r="E2588" s="16"/>
      <c r="G2588" s="17"/>
      <c r="J2588" s="10"/>
    </row>
    <row r="2589">
      <c r="B2589" s="11"/>
      <c r="C2589" s="12"/>
      <c r="D2589" s="12"/>
      <c r="E2589" s="13"/>
      <c r="G2589" s="17"/>
      <c r="J2589" s="10"/>
    </row>
    <row r="2590">
      <c r="B2590" s="14"/>
      <c r="C2590" s="15"/>
      <c r="D2590" s="15"/>
      <c r="E2590" s="16"/>
      <c r="G2590" s="17"/>
      <c r="J2590" s="10"/>
    </row>
    <row r="2591">
      <c r="B2591" s="11"/>
      <c r="C2591" s="12"/>
      <c r="D2591" s="12"/>
      <c r="E2591" s="13"/>
      <c r="G2591" s="17"/>
      <c r="J2591" s="10"/>
    </row>
    <row r="2592">
      <c r="B2592" s="14"/>
      <c r="C2592" s="15"/>
      <c r="D2592" s="15"/>
      <c r="E2592" s="16"/>
      <c r="G2592" s="17"/>
      <c r="J2592" s="10"/>
    </row>
    <row r="2593">
      <c r="B2593" s="11"/>
      <c r="C2593" s="12"/>
      <c r="D2593" s="12"/>
      <c r="E2593" s="13"/>
      <c r="G2593" s="17"/>
      <c r="J2593" s="10"/>
    </row>
    <row r="2594">
      <c r="B2594" s="14"/>
      <c r="C2594" s="15"/>
      <c r="D2594" s="15"/>
      <c r="E2594" s="16"/>
      <c r="G2594" s="17"/>
      <c r="J2594" s="10"/>
    </row>
    <row r="2595">
      <c r="B2595" s="11"/>
      <c r="C2595" s="12"/>
      <c r="D2595" s="12"/>
      <c r="E2595" s="13"/>
      <c r="G2595" s="17"/>
      <c r="J2595" s="10"/>
    </row>
    <row r="2596">
      <c r="B2596" s="14"/>
      <c r="C2596" s="15"/>
      <c r="D2596" s="15"/>
      <c r="E2596" s="16"/>
      <c r="G2596" s="17"/>
      <c r="J2596" s="10"/>
    </row>
    <row r="2597">
      <c r="B2597" s="11"/>
      <c r="C2597" s="12"/>
      <c r="D2597" s="12"/>
      <c r="E2597" s="13"/>
      <c r="G2597" s="17"/>
      <c r="J2597" s="10"/>
    </row>
    <row r="2598">
      <c r="B2598" s="14"/>
      <c r="C2598" s="15"/>
      <c r="D2598" s="15"/>
      <c r="E2598" s="16"/>
      <c r="G2598" s="17"/>
      <c r="J2598" s="10"/>
    </row>
    <row r="2599">
      <c r="B2599" s="11"/>
      <c r="C2599" s="12"/>
      <c r="D2599" s="12"/>
      <c r="E2599" s="13"/>
      <c r="G2599" s="17"/>
      <c r="J2599" s="10"/>
    </row>
    <row r="2600">
      <c r="B2600" s="14"/>
      <c r="C2600" s="15"/>
      <c r="D2600" s="15"/>
      <c r="E2600" s="16"/>
      <c r="G2600" s="17"/>
      <c r="J2600" s="10"/>
    </row>
    <row r="2601">
      <c r="B2601" s="11"/>
      <c r="C2601" s="12"/>
      <c r="D2601" s="12"/>
      <c r="E2601" s="13"/>
      <c r="G2601" s="17"/>
      <c r="J2601" s="10"/>
    </row>
    <row r="2602">
      <c r="B2602" s="14"/>
      <c r="C2602" s="15"/>
      <c r="D2602" s="15"/>
      <c r="E2602" s="16"/>
      <c r="G2602" s="17"/>
      <c r="J2602" s="10"/>
    </row>
    <row r="2603">
      <c r="B2603" s="11"/>
      <c r="C2603" s="12"/>
      <c r="D2603" s="12"/>
      <c r="E2603" s="13"/>
      <c r="G2603" s="17"/>
      <c r="J2603" s="10"/>
    </row>
    <row r="2604">
      <c r="B2604" s="14"/>
      <c r="C2604" s="15"/>
      <c r="D2604" s="15"/>
      <c r="E2604" s="16"/>
      <c r="G2604" s="17"/>
      <c r="J2604" s="10"/>
    </row>
    <row r="2605">
      <c r="B2605" s="11"/>
      <c r="C2605" s="12"/>
      <c r="D2605" s="12"/>
      <c r="E2605" s="13"/>
      <c r="G2605" s="17"/>
      <c r="J2605" s="10"/>
    </row>
    <row r="2606">
      <c r="B2606" s="14"/>
      <c r="C2606" s="15"/>
      <c r="D2606" s="15"/>
      <c r="E2606" s="16"/>
      <c r="G2606" s="17"/>
      <c r="J2606" s="10"/>
    </row>
    <row r="2607">
      <c r="B2607" s="11"/>
      <c r="C2607" s="12"/>
      <c r="D2607" s="12"/>
      <c r="E2607" s="13"/>
      <c r="G2607" s="17"/>
      <c r="J2607" s="10"/>
    </row>
    <row r="2608">
      <c r="B2608" s="14"/>
      <c r="C2608" s="15"/>
      <c r="D2608" s="15"/>
      <c r="E2608" s="16"/>
      <c r="G2608" s="17"/>
      <c r="J2608" s="10"/>
    </row>
    <row r="2609">
      <c r="B2609" s="11"/>
      <c r="C2609" s="12"/>
      <c r="D2609" s="12"/>
      <c r="E2609" s="13"/>
      <c r="G2609" s="17"/>
      <c r="J2609" s="10"/>
    </row>
    <row r="2610">
      <c r="B2610" s="14"/>
      <c r="C2610" s="15"/>
      <c r="D2610" s="15"/>
      <c r="E2610" s="16"/>
      <c r="G2610" s="17"/>
      <c r="J2610" s="10"/>
    </row>
    <row r="2611">
      <c r="B2611" s="11"/>
      <c r="C2611" s="12"/>
      <c r="D2611" s="12"/>
      <c r="E2611" s="13"/>
      <c r="G2611" s="17"/>
      <c r="J2611" s="10"/>
    </row>
    <row r="2612">
      <c r="B2612" s="14"/>
      <c r="C2612" s="15"/>
      <c r="D2612" s="15"/>
      <c r="E2612" s="16"/>
      <c r="G2612" s="17"/>
      <c r="J2612" s="10"/>
    </row>
    <row r="2613">
      <c r="B2613" s="11"/>
      <c r="C2613" s="12"/>
      <c r="D2613" s="12"/>
      <c r="E2613" s="13"/>
      <c r="G2613" s="17"/>
      <c r="J2613" s="10"/>
    </row>
    <row r="2614">
      <c r="B2614" s="14"/>
      <c r="C2614" s="15"/>
      <c r="D2614" s="15"/>
      <c r="E2614" s="16"/>
      <c r="G2614" s="17"/>
      <c r="J2614" s="10"/>
    </row>
    <row r="2615">
      <c r="B2615" s="11"/>
      <c r="C2615" s="12"/>
      <c r="D2615" s="12"/>
      <c r="E2615" s="13"/>
      <c r="G2615" s="17"/>
      <c r="J2615" s="10"/>
    </row>
    <row r="2616">
      <c r="B2616" s="14"/>
      <c r="C2616" s="15"/>
      <c r="D2616" s="15"/>
      <c r="E2616" s="16"/>
      <c r="G2616" s="17"/>
      <c r="J2616" s="10"/>
    </row>
    <row r="2617">
      <c r="B2617" s="11"/>
      <c r="C2617" s="12"/>
      <c r="D2617" s="12"/>
      <c r="E2617" s="13"/>
      <c r="G2617" s="17"/>
      <c r="J2617" s="10"/>
    </row>
    <row r="2618">
      <c r="B2618" s="14"/>
      <c r="C2618" s="15"/>
      <c r="D2618" s="15"/>
      <c r="E2618" s="16"/>
      <c r="G2618" s="17"/>
      <c r="J2618" s="10"/>
    </row>
    <row r="2619">
      <c r="B2619" s="11"/>
      <c r="C2619" s="12"/>
      <c r="D2619" s="12"/>
      <c r="E2619" s="13"/>
      <c r="G2619" s="17"/>
      <c r="J2619" s="10"/>
    </row>
    <row r="2620">
      <c r="B2620" s="14"/>
      <c r="C2620" s="15"/>
      <c r="D2620" s="15"/>
      <c r="E2620" s="16"/>
      <c r="G2620" s="17"/>
      <c r="J2620" s="10"/>
    </row>
    <row r="2621">
      <c r="B2621" s="11"/>
      <c r="C2621" s="12"/>
      <c r="D2621" s="12"/>
      <c r="E2621" s="13"/>
      <c r="G2621" s="17"/>
      <c r="J2621" s="10"/>
    </row>
    <row r="2622">
      <c r="B2622" s="14"/>
      <c r="C2622" s="15"/>
      <c r="D2622" s="15"/>
      <c r="E2622" s="16"/>
      <c r="G2622" s="17"/>
      <c r="J2622" s="10"/>
    </row>
    <row r="2623">
      <c r="B2623" s="11"/>
      <c r="C2623" s="12"/>
      <c r="D2623" s="12"/>
      <c r="E2623" s="13"/>
      <c r="G2623" s="17"/>
      <c r="J2623" s="10"/>
    </row>
    <row r="2624">
      <c r="B2624" s="14"/>
      <c r="C2624" s="15"/>
      <c r="D2624" s="15"/>
      <c r="E2624" s="16"/>
      <c r="G2624" s="17"/>
      <c r="J2624" s="10"/>
    </row>
    <row r="2625">
      <c r="B2625" s="11"/>
      <c r="C2625" s="12"/>
      <c r="D2625" s="12"/>
      <c r="E2625" s="13"/>
      <c r="G2625" s="17"/>
      <c r="J2625" s="10"/>
    </row>
    <row r="2626">
      <c r="B2626" s="14"/>
      <c r="C2626" s="15"/>
      <c r="D2626" s="15"/>
      <c r="E2626" s="16"/>
      <c r="G2626" s="17"/>
      <c r="J2626" s="10"/>
    </row>
    <row r="2627">
      <c r="B2627" s="11"/>
      <c r="C2627" s="12"/>
      <c r="D2627" s="12"/>
      <c r="E2627" s="13"/>
      <c r="G2627" s="17"/>
      <c r="J2627" s="10"/>
    </row>
    <row r="2628">
      <c r="B2628" s="14"/>
      <c r="C2628" s="15"/>
      <c r="D2628" s="15"/>
      <c r="E2628" s="16"/>
      <c r="G2628" s="17"/>
      <c r="J2628" s="10"/>
    </row>
    <row r="2629">
      <c r="B2629" s="11"/>
      <c r="C2629" s="12"/>
      <c r="D2629" s="12"/>
      <c r="E2629" s="13"/>
      <c r="G2629" s="17"/>
      <c r="J2629" s="10"/>
    </row>
    <row r="2630">
      <c r="B2630" s="14"/>
      <c r="C2630" s="15"/>
      <c r="D2630" s="15"/>
      <c r="E2630" s="16"/>
      <c r="G2630" s="17"/>
      <c r="J2630" s="10"/>
    </row>
    <row r="2631">
      <c r="B2631" s="11"/>
      <c r="C2631" s="12"/>
      <c r="D2631" s="12"/>
      <c r="E2631" s="13"/>
      <c r="G2631" s="17"/>
      <c r="J2631" s="10"/>
    </row>
    <row r="2632">
      <c r="B2632" s="14"/>
      <c r="C2632" s="15"/>
      <c r="D2632" s="15"/>
      <c r="E2632" s="16"/>
      <c r="G2632" s="17"/>
      <c r="J2632" s="10"/>
    </row>
    <row r="2633">
      <c r="B2633" s="11"/>
      <c r="C2633" s="12"/>
      <c r="D2633" s="12"/>
      <c r="E2633" s="13"/>
      <c r="G2633" s="17"/>
      <c r="J2633" s="10"/>
    </row>
    <row r="2634">
      <c r="B2634" s="14"/>
      <c r="C2634" s="15"/>
      <c r="D2634" s="15"/>
      <c r="E2634" s="16"/>
      <c r="G2634" s="17"/>
      <c r="J2634" s="10"/>
    </row>
    <row r="2635">
      <c r="B2635" s="11"/>
      <c r="C2635" s="12"/>
      <c r="D2635" s="12"/>
      <c r="E2635" s="13"/>
      <c r="G2635" s="17"/>
      <c r="J2635" s="10"/>
    </row>
    <row r="2636">
      <c r="B2636" s="14"/>
      <c r="C2636" s="15"/>
      <c r="D2636" s="15"/>
      <c r="E2636" s="16"/>
      <c r="G2636" s="17"/>
      <c r="J2636" s="10"/>
    </row>
    <row r="2637">
      <c r="B2637" s="11"/>
      <c r="C2637" s="12"/>
      <c r="D2637" s="12"/>
      <c r="E2637" s="13"/>
      <c r="G2637" s="17"/>
      <c r="J2637" s="10"/>
    </row>
    <row r="2638">
      <c r="B2638" s="14"/>
      <c r="C2638" s="15"/>
      <c r="D2638" s="15"/>
      <c r="E2638" s="16"/>
      <c r="G2638" s="17"/>
      <c r="J2638" s="10"/>
    </row>
    <row r="2639">
      <c r="B2639" s="11"/>
      <c r="C2639" s="12"/>
      <c r="D2639" s="12"/>
      <c r="E2639" s="13"/>
      <c r="G2639" s="17"/>
      <c r="J2639" s="10"/>
    </row>
    <row r="2640">
      <c r="B2640" s="14"/>
      <c r="C2640" s="15"/>
      <c r="D2640" s="15"/>
      <c r="E2640" s="16"/>
      <c r="G2640" s="17"/>
      <c r="J2640" s="10"/>
    </row>
    <row r="2641">
      <c r="B2641" s="11"/>
      <c r="C2641" s="12"/>
      <c r="D2641" s="12"/>
      <c r="E2641" s="13"/>
      <c r="G2641" s="17"/>
      <c r="J2641" s="10"/>
    </row>
    <row r="2642">
      <c r="B2642" s="14"/>
      <c r="C2642" s="15"/>
      <c r="D2642" s="15"/>
      <c r="E2642" s="16"/>
      <c r="G2642" s="17"/>
      <c r="J2642" s="10"/>
    </row>
    <row r="2643">
      <c r="B2643" s="11"/>
      <c r="C2643" s="12"/>
      <c r="D2643" s="12"/>
      <c r="E2643" s="13"/>
      <c r="G2643" s="17"/>
      <c r="J2643" s="10"/>
    </row>
    <row r="2644">
      <c r="B2644" s="14"/>
      <c r="C2644" s="15"/>
      <c r="D2644" s="15"/>
      <c r="E2644" s="16"/>
      <c r="G2644" s="17"/>
      <c r="J2644" s="10"/>
    </row>
    <row r="2645">
      <c r="B2645" s="11"/>
      <c r="C2645" s="12"/>
      <c r="D2645" s="12"/>
      <c r="E2645" s="13"/>
      <c r="G2645" s="17"/>
      <c r="J2645" s="10"/>
    </row>
    <row r="2646">
      <c r="B2646" s="14"/>
      <c r="C2646" s="15"/>
      <c r="D2646" s="15"/>
      <c r="E2646" s="16"/>
      <c r="G2646" s="17"/>
      <c r="J2646" s="10"/>
    </row>
    <row r="2647">
      <c r="B2647" s="11"/>
      <c r="C2647" s="12"/>
      <c r="D2647" s="12"/>
      <c r="E2647" s="13"/>
      <c r="G2647" s="17"/>
      <c r="J2647" s="10"/>
    </row>
    <row r="2648">
      <c r="B2648" s="14"/>
      <c r="C2648" s="15"/>
      <c r="D2648" s="15"/>
      <c r="E2648" s="16"/>
      <c r="G2648" s="17"/>
      <c r="J2648" s="10"/>
    </row>
    <row r="2649">
      <c r="B2649" s="11"/>
      <c r="C2649" s="12"/>
      <c r="D2649" s="12"/>
      <c r="E2649" s="13"/>
      <c r="G2649" s="17"/>
      <c r="J2649" s="10"/>
    </row>
    <row r="2650">
      <c r="B2650" s="14"/>
      <c r="C2650" s="15"/>
      <c r="D2650" s="15"/>
      <c r="E2650" s="16"/>
      <c r="G2650" s="17"/>
      <c r="J2650" s="10"/>
    </row>
    <row r="2651">
      <c r="B2651" s="11"/>
      <c r="C2651" s="12"/>
      <c r="D2651" s="12"/>
      <c r="E2651" s="13"/>
      <c r="G2651" s="17"/>
      <c r="J2651" s="10"/>
    </row>
    <row r="2652">
      <c r="B2652" s="14"/>
      <c r="C2652" s="15"/>
      <c r="D2652" s="15"/>
      <c r="E2652" s="16"/>
      <c r="G2652" s="17"/>
      <c r="J2652" s="10"/>
    </row>
    <row r="2653">
      <c r="B2653" s="11"/>
      <c r="C2653" s="12"/>
      <c r="D2653" s="12"/>
      <c r="E2653" s="13"/>
      <c r="G2653" s="17"/>
      <c r="J2653" s="10"/>
    </row>
    <row r="2654">
      <c r="B2654" s="14"/>
      <c r="C2654" s="15"/>
      <c r="D2654" s="15"/>
      <c r="E2654" s="16"/>
      <c r="G2654" s="17"/>
      <c r="J2654" s="10"/>
    </row>
    <row r="2655">
      <c r="B2655" s="11"/>
      <c r="C2655" s="12"/>
      <c r="D2655" s="12"/>
      <c r="E2655" s="13"/>
      <c r="G2655" s="17"/>
      <c r="J2655" s="10"/>
    </row>
    <row r="2656">
      <c r="B2656" s="14"/>
      <c r="C2656" s="15"/>
      <c r="D2656" s="15"/>
      <c r="E2656" s="16"/>
      <c r="G2656" s="17"/>
      <c r="J2656" s="10"/>
    </row>
    <row r="2657">
      <c r="B2657" s="11"/>
      <c r="C2657" s="12"/>
      <c r="D2657" s="12"/>
      <c r="E2657" s="13"/>
      <c r="G2657" s="17"/>
      <c r="J2657" s="10"/>
    </row>
    <row r="2658">
      <c r="B2658" s="14"/>
      <c r="C2658" s="15"/>
      <c r="D2658" s="15"/>
      <c r="E2658" s="16"/>
      <c r="G2658" s="17"/>
      <c r="J2658" s="10"/>
    </row>
    <row r="2659">
      <c r="B2659" s="11"/>
      <c r="C2659" s="12"/>
      <c r="D2659" s="12"/>
      <c r="E2659" s="13"/>
      <c r="G2659" s="17"/>
      <c r="J2659" s="10"/>
    </row>
    <row r="2660">
      <c r="B2660" s="14"/>
      <c r="C2660" s="15"/>
      <c r="D2660" s="15"/>
      <c r="E2660" s="16"/>
      <c r="G2660" s="17"/>
      <c r="J2660" s="10"/>
    </row>
    <row r="2661">
      <c r="B2661" s="11"/>
      <c r="C2661" s="12"/>
      <c r="D2661" s="12"/>
      <c r="E2661" s="13"/>
      <c r="G2661" s="17"/>
      <c r="J2661" s="10"/>
    </row>
    <row r="2662">
      <c r="B2662" s="14"/>
      <c r="C2662" s="15"/>
      <c r="D2662" s="15"/>
      <c r="E2662" s="16"/>
      <c r="G2662" s="17"/>
      <c r="J2662" s="10"/>
    </row>
    <row r="2663">
      <c r="B2663" s="11"/>
      <c r="C2663" s="12"/>
      <c r="D2663" s="12"/>
      <c r="E2663" s="13"/>
      <c r="G2663" s="17"/>
      <c r="J2663" s="10"/>
    </row>
    <row r="2664">
      <c r="B2664" s="14"/>
      <c r="C2664" s="15"/>
      <c r="D2664" s="15"/>
      <c r="E2664" s="16"/>
      <c r="G2664" s="17"/>
      <c r="J2664" s="10"/>
    </row>
    <row r="2665">
      <c r="B2665" s="11"/>
      <c r="C2665" s="12"/>
      <c r="D2665" s="12"/>
      <c r="E2665" s="13"/>
      <c r="G2665" s="17"/>
      <c r="J2665" s="10"/>
    </row>
    <row r="2666">
      <c r="B2666" s="14"/>
      <c r="C2666" s="15"/>
      <c r="D2666" s="15"/>
      <c r="E2666" s="16"/>
      <c r="G2666" s="17"/>
      <c r="J2666" s="10"/>
    </row>
    <row r="2667">
      <c r="B2667" s="11"/>
      <c r="C2667" s="12"/>
      <c r="D2667" s="12"/>
      <c r="E2667" s="13"/>
      <c r="G2667" s="17"/>
      <c r="J2667" s="10"/>
    </row>
    <row r="2668">
      <c r="B2668" s="14"/>
      <c r="C2668" s="15"/>
      <c r="D2668" s="15"/>
      <c r="E2668" s="16"/>
      <c r="G2668" s="17"/>
      <c r="J2668" s="10"/>
    </row>
    <row r="2669">
      <c r="B2669" s="11"/>
      <c r="C2669" s="12"/>
      <c r="D2669" s="12"/>
      <c r="E2669" s="13"/>
      <c r="G2669" s="17"/>
      <c r="J2669" s="10"/>
    </row>
    <row r="2670">
      <c r="B2670" s="14"/>
      <c r="C2670" s="15"/>
      <c r="D2670" s="15"/>
      <c r="E2670" s="16"/>
      <c r="G2670" s="17"/>
      <c r="J2670" s="10"/>
    </row>
    <row r="2671">
      <c r="B2671" s="11"/>
      <c r="C2671" s="12"/>
      <c r="D2671" s="12"/>
      <c r="E2671" s="13"/>
      <c r="G2671" s="17"/>
      <c r="J2671" s="10"/>
    </row>
    <row r="2672">
      <c r="B2672" s="14"/>
      <c r="C2672" s="15"/>
      <c r="D2672" s="15"/>
      <c r="E2672" s="16"/>
      <c r="G2672" s="17"/>
      <c r="J2672" s="10"/>
    </row>
    <row r="2673">
      <c r="B2673" s="11"/>
      <c r="C2673" s="12"/>
      <c r="D2673" s="12"/>
      <c r="E2673" s="13"/>
      <c r="G2673" s="17"/>
      <c r="J2673" s="10"/>
    </row>
    <row r="2674">
      <c r="B2674" s="14"/>
      <c r="C2674" s="15"/>
      <c r="D2674" s="15"/>
      <c r="E2674" s="16"/>
      <c r="G2674" s="17"/>
      <c r="J2674" s="10"/>
    </row>
    <row r="2675">
      <c r="B2675" s="11"/>
      <c r="C2675" s="12"/>
      <c r="D2675" s="12"/>
      <c r="E2675" s="13"/>
      <c r="G2675" s="17"/>
      <c r="J2675" s="10"/>
    </row>
    <row r="2676">
      <c r="B2676" s="14"/>
      <c r="C2676" s="15"/>
      <c r="D2676" s="15"/>
      <c r="E2676" s="16"/>
      <c r="G2676" s="17"/>
      <c r="J2676" s="10"/>
    </row>
    <row r="2677">
      <c r="B2677" s="11"/>
      <c r="C2677" s="12"/>
      <c r="D2677" s="12"/>
      <c r="E2677" s="13"/>
      <c r="G2677" s="17"/>
      <c r="J2677" s="10"/>
    </row>
    <row r="2678">
      <c r="B2678" s="14"/>
      <c r="C2678" s="15"/>
      <c r="D2678" s="15"/>
      <c r="E2678" s="16"/>
      <c r="G2678" s="17"/>
      <c r="J2678" s="10"/>
    </row>
    <row r="2679">
      <c r="B2679" s="11"/>
      <c r="C2679" s="12"/>
      <c r="D2679" s="12"/>
      <c r="E2679" s="13"/>
      <c r="G2679" s="17"/>
      <c r="J2679" s="10"/>
    </row>
    <row r="2680">
      <c r="B2680" s="14"/>
      <c r="C2680" s="15"/>
      <c r="D2680" s="15"/>
      <c r="E2680" s="16"/>
      <c r="G2680" s="17"/>
      <c r="J2680" s="10"/>
    </row>
    <row r="2681">
      <c r="B2681" s="11"/>
      <c r="C2681" s="12"/>
      <c r="D2681" s="12"/>
      <c r="E2681" s="13"/>
      <c r="G2681" s="17"/>
      <c r="J2681" s="10"/>
    </row>
    <row r="2682">
      <c r="B2682" s="14"/>
      <c r="C2682" s="15"/>
      <c r="D2682" s="15"/>
      <c r="E2682" s="16"/>
      <c r="G2682" s="17"/>
      <c r="J2682" s="10"/>
    </row>
    <row r="2683">
      <c r="B2683" s="11"/>
      <c r="C2683" s="12"/>
      <c r="D2683" s="12"/>
      <c r="E2683" s="13"/>
      <c r="G2683" s="17"/>
      <c r="J2683" s="10"/>
    </row>
    <row r="2684">
      <c r="B2684" s="14"/>
      <c r="C2684" s="15"/>
      <c r="D2684" s="15"/>
      <c r="E2684" s="16"/>
      <c r="G2684" s="17"/>
      <c r="J2684" s="10"/>
    </row>
    <row r="2685">
      <c r="B2685" s="11"/>
      <c r="C2685" s="12"/>
      <c r="D2685" s="12"/>
      <c r="E2685" s="13"/>
      <c r="G2685" s="17"/>
      <c r="J2685" s="10"/>
    </row>
    <row r="2686">
      <c r="B2686" s="14"/>
      <c r="C2686" s="15"/>
      <c r="D2686" s="15"/>
      <c r="E2686" s="16"/>
      <c r="G2686" s="17"/>
      <c r="J2686" s="10"/>
    </row>
    <row r="2687">
      <c r="B2687" s="11"/>
      <c r="C2687" s="12"/>
      <c r="D2687" s="12"/>
      <c r="E2687" s="13"/>
      <c r="G2687" s="17"/>
      <c r="J2687" s="10"/>
    </row>
    <row r="2688">
      <c r="B2688" s="14"/>
      <c r="C2688" s="15"/>
      <c r="D2688" s="15"/>
      <c r="E2688" s="16"/>
      <c r="G2688" s="17"/>
      <c r="J2688" s="10"/>
    </row>
    <row r="2689">
      <c r="B2689" s="11"/>
      <c r="C2689" s="12"/>
      <c r="D2689" s="12"/>
      <c r="E2689" s="13"/>
      <c r="G2689" s="17"/>
      <c r="J2689" s="10"/>
    </row>
    <row r="2690">
      <c r="B2690" s="14"/>
      <c r="C2690" s="15"/>
      <c r="D2690" s="15"/>
      <c r="E2690" s="16"/>
      <c r="G2690" s="17"/>
      <c r="J2690" s="10"/>
    </row>
    <row r="2691">
      <c r="B2691" s="11"/>
      <c r="C2691" s="12"/>
      <c r="D2691" s="12"/>
      <c r="E2691" s="13"/>
      <c r="G2691" s="17"/>
      <c r="J2691" s="10"/>
    </row>
    <row r="2692">
      <c r="B2692" s="14"/>
      <c r="C2692" s="15"/>
      <c r="D2692" s="15"/>
      <c r="E2692" s="16"/>
      <c r="G2692" s="17"/>
      <c r="J2692" s="10"/>
    </row>
    <row r="2693">
      <c r="B2693" s="11"/>
      <c r="C2693" s="12"/>
      <c r="D2693" s="12"/>
      <c r="E2693" s="13"/>
      <c r="G2693" s="17"/>
      <c r="J2693" s="10"/>
    </row>
    <row r="2694">
      <c r="B2694" s="14"/>
      <c r="C2694" s="15"/>
      <c r="D2694" s="15"/>
      <c r="E2694" s="16"/>
      <c r="G2694" s="17"/>
      <c r="J2694" s="10"/>
    </row>
    <row r="2695">
      <c r="B2695" s="11"/>
      <c r="C2695" s="12"/>
      <c r="D2695" s="12"/>
      <c r="E2695" s="13"/>
      <c r="G2695" s="17"/>
      <c r="J2695" s="10"/>
    </row>
    <row r="2696">
      <c r="B2696" s="14"/>
      <c r="C2696" s="15"/>
      <c r="D2696" s="15"/>
      <c r="E2696" s="16"/>
      <c r="G2696" s="17"/>
      <c r="J2696" s="10"/>
    </row>
    <row r="2697">
      <c r="B2697" s="11"/>
      <c r="C2697" s="12"/>
      <c r="D2697" s="12"/>
      <c r="E2697" s="13"/>
      <c r="G2697" s="17"/>
      <c r="J2697" s="10"/>
    </row>
    <row r="2698">
      <c r="B2698" s="14"/>
      <c r="C2698" s="15"/>
      <c r="D2698" s="15"/>
      <c r="E2698" s="16"/>
      <c r="G2698" s="17"/>
      <c r="J2698" s="10"/>
    </row>
    <row r="2699">
      <c r="B2699" s="11"/>
      <c r="C2699" s="12"/>
      <c r="D2699" s="12"/>
      <c r="E2699" s="13"/>
      <c r="G2699" s="17"/>
      <c r="J2699" s="10"/>
    </row>
    <row r="2700">
      <c r="B2700" s="14"/>
      <c r="C2700" s="15"/>
      <c r="D2700" s="15"/>
      <c r="E2700" s="16"/>
      <c r="G2700" s="17"/>
      <c r="J2700" s="10"/>
    </row>
    <row r="2701">
      <c r="B2701" s="11"/>
      <c r="C2701" s="12"/>
      <c r="D2701" s="12"/>
      <c r="E2701" s="13"/>
      <c r="G2701" s="17"/>
      <c r="J2701" s="10"/>
    </row>
    <row r="2702">
      <c r="B2702" s="14"/>
      <c r="C2702" s="15"/>
      <c r="D2702" s="15"/>
      <c r="E2702" s="16"/>
      <c r="G2702" s="17"/>
      <c r="J2702" s="10"/>
    </row>
    <row r="2703">
      <c r="B2703" s="11"/>
      <c r="C2703" s="12"/>
      <c r="D2703" s="12"/>
      <c r="E2703" s="13"/>
      <c r="G2703" s="17"/>
      <c r="J2703" s="10"/>
    </row>
    <row r="2704">
      <c r="B2704" s="14"/>
      <c r="C2704" s="15"/>
      <c r="D2704" s="15"/>
      <c r="E2704" s="16"/>
      <c r="G2704" s="17"/>
      <c r="J2704" s="10"/>
    </row>
    <row r="2705">
      <c r="B2705" s="11"/>
      <c r="C2705" s="12"/>
      <c r="D2705" s="12"/>
      <c r="E2705" s="13"/>
      <c r="G2705" s="17"/>
      <c r="J2705" s="10"/>
    </row>
    <row r="2706">
      <c r="B2706" s="14"/>
      <c r="C2706" s="15"/>
      <c r="D2706" s="15"/>
      <c r="E2706" s="16"/>
      <c r="G2706" s="17"/>
      <c r="J2706" s="10"/>
    </row>
    <row r="2707">
      <c r="B2707" s="11"/>
      <c r="C2707" s="12"/>
      <c r="D2707" s="12"/>
      <c r="E2707" s="13"/>
      <c r="G2707" s="17"/>
      <c r="J2707" s="10"/>
    </row>
    <row r="2708">
      <c r="B2708" s="14"/>
      <c r="C2708" s="15"/>
      <c r="D2708" s="15"/>
      <c r="E2708" s="16"/>
      <c r="G2708" s="17"/>
      <c r="J2708" s="10"/>
    </row>
    <row r="2709">
      <c r="B2709" s="11"/>
      <c r="C2709" s="12"/>
      <c r="D2709" s="12"/>
      <c r="E2709" s="13"/>
      <c r="G2709" s="17"/>
      <c r="J2709" s="10"/>
    </row>
    <row r="2710">
      <c r="B2710" s="14"/>
      <c r="C2710" s="15"/>
      <c r="D2710" s="15"/>
      <c r="E2710" s="16"/>
      <c r="G2710" s="17"/>
      <c r="J2710" s="10"/>
    </row>
    <row r="2711">
      <c r="B2711" s="11"/>
      <c r="C2711" s="12"/>
      <c r="D2711" s="12"/>
      <c r="E2711" s="13"/>
      <c r="G2711" s="17"/>
      <c r="J2711" s="10"/>
    </row>
    <row r="2712">
      <c r="B2712" s="14"/>
      <c r="C2712" s="15"/>
      <c r="D2712" s="15"/>
      <c r="E2712" s="16"/>
      <c r="G2712" s="17"/>
      <c r="J2712" s="10"/>
    </row>
    <row r="2713">
      <c r="B2713" s="11"/>
      <c r="C2713" s="12"/>
      <c r="D2713" s="12"/>
      <c r="E2713" s="13"/>
      <c r="G2713" s="17"/>
      <c r="J2713" s="10"/>
    </row>
    <row r="2714">
      <c r="B2714" s="14"/>
      <c r="C2714" s="15"/>
      <c r="D2714" s="15"/>
      <c r="E2714" s="16"/>
      <c r="G2714" s="17"/>
      <c r="J2714" s="10"/>
    </row>
    <row r="2715">
      <c r="B2715" s="11"/>
      <c r="C2715" s="12"/>
      <c r="D2715" s="12"/>
      <c r="E2715" s="13"/>
      <c r="G2715" s="17"/>
      <c r="J2715" s="10"/>
    </row>
    <row r="2716">
      <c r="B2716" s="14"/>
      <c r="C2716" s="15"/>
      <c r="D2716" s="15"/>
      <c r="E2716" s="16"/>
      <c r="G2716" s="17"/>
      <c r="J2716" s="10"/>
    </row>
    <row r="2717">
      <c r="B2717" s="11"/>
      <c r="C2717" s="12"/>
      <c r="D2717" s="12"/>
      <c r="E2717" s="13"/>
      <c r="G2717" s="17"/>
      <c r="J2717" s="10"/>
    </row>
    <row r="2718">
      <c r="B2718" s="14"/>
      <c r="C2718" s="15"/>
      <c r="D2718" s="15"/>
      <c r="E2718" s="16"/>
      <c r="G2718" s="17"/>
      <c r="J2718" s="10"/>
    </row>
    <row r="2719">
      <c r="B2719" s="11"/>
      <c r="C2719" s="12"/>
      <c r="D2719" s="12"/>
      <c r="E2719" s="13"/>
      <c r="G2719" s="17"/>
      <c r="J2719" s="10"/>
    </row>
    <row r="2720">
      <c r="B2720" s="14"/>
      <c r="C2720" s="15"/>
      <c r="D2720" s="15"/>
      <c r="E2720" s="16"/>
      <c r="G2720" s="17"/>
      <c r="J2720" s="10"/>
    </row>
    <row r="2721">
      <c r="B2721" s="11"/>
      <c r="C2721" s="12"/>
      <c r="D2721" s="12"/>
      <c r="E2721" s="13"/>
      <c r="G2721" s="17"/>
      <c r="J2721" s="10"/>
    </row>
    <row r="2722">
      <c r="B2722" s="14"/>
      <c r="C2722" s="15"/>
      <c r="D2722" s="15"/>
      <c r="E2722" s="16"/>
      <c r="G2722" s="17"/>
      <c r="J2722" s="10"/>
    </row>
    <row r="2723">
      <c r="B2723" s="11"/>
      <c r="C2723" s="12"/>
      <c r="D2723" s="12"/>
      <c r="E2723" s="13"/>
      <c r="G2723" s="17"/>
      <c r="J2723" s="10"/>
    </row>
    <row r="2724">
      <c r="B2724" s="14"/>
      <c r="C2724" s="15"/>
      <c r="D2724" s="15"/>
      <c r="E2724" s="16"/>
      <c r="G2724" s="17"/>
      <c r="J2724" s="10"/>
    </row>
    <row r="2725">
      <c r="B2725" s="11"/>
      <c r="C2725" s="12"/>
      <c r="D2725" s="12"/>
      <c r="E2725" s="13"/>
      <c r="G2725" s="17"/>
      <c r="J2725" s="10"/>
    </row>
    <row r="2726">
      <c r="B2726" s="14"/>
      <c r="C2726" s="15"/>
      <c r="D2726" s="15"/>
      <c r="E2726" s="16"/>
      <c r="G2726" s="17"/>
      <c r="J2726" s="10"/>
    </row>
    <row r="2727">
      <c r="B2727" s="11"/>
      <c r="C2727" s="12"/>
      <c r="D2727" s="12"/>
      <c r="E2727" s="13"/>
      <c r="G2727" s="17"/>
      <c r="J2727" s="10"/>
    </row>
    <row r="2728">
      <c r="B2728" s="14"/>
      <c r="C2728" s="15"/>
      <c r="D2728" s="15"/>
      <c r="E2728" s="16"/>
      <c r="G2728" s="17"/>
      <c r="J2728" s="10"/>
    </row>
    <row r="2729">
      <c r="B2729" s="11"/>
      <c r="C2729" s="12"/>
      <c r="D2729" s="12"/>
      <c r="E2729" s="13"/>
      <c r="G2729" s="17"/>
      <c r="J2729" s="10"/>
    </row>
    <row r="2730">
      <c r="B2730" s="14"/>
      <c r="C2730" s="15"/>
      <c r="D2730" s="15"/>
      <c r="E2730" s="16"/>
      <c r="G2730" s="17"/>
      <c r="J2730" s="10"/>
    </row>
    <row r="2731">
      <c r="B2731" s="11"/>
      <c r="C2731" s="12"/>
      <c r="D2731" s="12"/>
      <c r="E2731" s="13"/>
      <c r="G2731" s="17"/>
      <c r="J2731" s="10"/>
    </row>
    <row r="2732">
      <c r="B2732" s="14"/>
      <c r="C2732" s="15"/>
      <c r="D2732" s="15"/>
      <c r="E2732" s="16"/>
      <c r="G2732" s="17"/>
      <c r="J2732" s="10"/>
    </row>
    <row r="2733">
      <c r="B2733" s="11"/>
      <c r="C2733" s="12"/>
      <c r="D2733" s="12"/>
      <c r="E2733" s="13"/>
      <c r="G2733" s="17"/>
      <c r="J2733" s="10"/>
    </row>
    <row r="2734">
      <c r="B2734" s="14"/>
      <c r="C2734" s="15"/>
      <c r="D2734" s="15"/>
      <c r="E2734" s="16"/>
      <c r="G2734" s="17"/>
      <c r="J2734" s="10"/>
    </row>
    <row r="2735">
      <c r="B2735" s="11"/>
      <c r="C2735" s="12"/>
      <c r="D2735" s="12"/>
      <c r="E2735" s="13"/>
      <c r="G2735" s="17"/>
      <c r="J2735" s="10"/>
    </row>
    <row r="2736">
      <c r="B2736" s="14"/>
      <c r="C2736" s="15"/>
      <c r="D2736" s="15"/>
      <c r="E2736" s="16"/>
      <c r="G2736" s="17"/>
      <c r="J2736" s="10"/>
    </row>
    <row r="2737">
      <c r="B2737" s="11"/>
      <c r="C2737" s="12"/>
      <c r="D2737" s="12"/>
      <c r="E2737" s="13"/>
      <c r="G2737" s="17"/>
      <c r="J2737" s="10"/>
    </row>
    <row r="2738">
      <c r="B2738" s="14"/>
      <c r="C2738" s="15"/>
      <c r="D2738" s="15"/>
      <c r="E2738" s="16"/>
      <c r="G2738" s="17"/>
      <c r="J2738" s="10"/>
    </row>
    <row r="2739">
      <c r="B2739" s="11"/>
      <c r="C2739" s="12"/>
      <c r="D2739" s="12"/>
      <c r="E2739" s="13"/>
      <c r="G2739" s="17"/>
      <c r="J2739" s="10"/>
    </row>
    <row r="2740">
      <c r="B2740" s="14"/>
      <c r="C2740" s="15"/>
      <c r="D2740" s="15"/>
      <c r="E2740" s="16"/>
      <c r="G2740" s="17"/>
      <c r="J2740" s="10"/>
    </row>
    <row r="2741">
      <c r="B2741" s="11"/>
      <c r="C2741" s="12"/>
      <c r="D2741" s="12"/>
      <c r="E2741" s="13"/>
      <c r="G2741" s="17"/>
      <c r="J2741" s="10"/>
    </row>
    <row r="2742">
      <c r="B2742" s="14"/>
      <c r="C2742" s="15"/>
      <c r="D2742" s="15"/>
      <c r="E2742" s="16"/>
      <c r="G2742" s="17"/>
      <c r="J2742" s="10"/>
    </row>
    <row r="2743">
      <c r="B2743" s="11"/>
      <c r="C2743" s="12"/>
      <c r="D2743" s="12"/>
      <c r="E2743" s="13"/>
      <c r="G2743" s="17"/>
      <c r="J2743" s="10"/>
    </row>
    <row r="2744">
      <c r="B2744" s="14"/>
      <c r="C2744" s="15"/>
      <c r="D2744" s="15"/>
      <c r="E2744" s="16"/>
      <c r="G2744" s="17"/>
      <c r="J2744" s="10"/>
    </row>
    <row r="2745">
      <c r="B2745" s="11"/>
      <c r="C2745" s="12"/>
      <c r="D2745" s="12"/>
      <c r="E2745" s="13"/>
      <c r="G2745" s="17"/>
      <c r="J2745" s="10"/>
    </row>
    <row r="2746">
      <c r="B2746" s="14"/>
      <c r="C2746" s="15"/>
      <c r="D2746" s="15"/>
      <c r="E2746" s="16"/>
      <c r="G2746" s="17"/>
      <c r="J2746" s="10"/>
    </row>
    <row r="2747">
      <c r="B2747" s="11"/>
      <c r="C2747" s="12"/>
      <c r="D2747" s="12"/>
      <c r="E2747" s="13"/>
      <c r="G2747" s="17"/>
      <c r="J2747" s="10"/>
    </row>
    <row r="2748">
      <c r="B2748" s="14"/>
      <c r="C2748" s="15"/>
      <c r="D2748" s="15"/>
      <c r="E2748" s="16"/>
      <c r="G2748" s="17"/>
      <c r="J2748" s="10"/>
    </row>
    <row r="2749">
      <c r="B2749" s="11"/>
      <c r="C2749" s="12"/>
      <c r="D2749" s="12"/>
      <c r="E2749" s="13"/>
      <c r="G2749" s="17"/>
      <c r="J2749" s="10"/>
    </row>
    <row r="2750">
      <c r="B2750" s="14"/>
      <c r="C2750" s="15"/>
      <c r="D2750" s="15"/>
      <c r="E2750" s="16"/>
      <c r="G2750" s="17"/>
      <c r="J2750" s="10"/>
    </row>
    <row r="2751">
      <c r="B2751" s="11"/>
      <c r="C2751" s="12"/>
      <c r="D2751" s="12"/>
      <c r="E2751" s="13"/>
      <c r="G2751" s="17"/>
      <c r="J2751" s="10"/>
    </row>
    <row r="2752">
      <c r="B2752" s="14"/>
      <c r="C2752" s="15"/>
      <c r="D2752" s="15"/>
      <c r="E2752" s="16"/>
      <c r="G2752" s="17"/>
      <c r="J2752" s="10"/>
    </row>
    <row r="2753">
      <c r="B2753" s="11"/>
      <c r="C2753" s="12"/>
      <c r="D2753" s="12"/>
      <c r="E2753" s="13"/>
      <c r="G2753" s="17"/>
      <c r="J2753" s="10"/>
    </row>
    <row r="2754">
      <c r="B2754" s="14"/>
      <c r="C2754" s="15"/>
      <c r="D2754" s="15"/>
      <c r="E2754" s="16"/>
      <c r="G2754" s="17"/>
      <c r="J2754" s="10"/>
    </row>
    <row r="2755">
      <c r="B2755" s="11"/>
      <c r="C2755" s="12"/>
      <c r="D2755" s="12"/>
      <c r="E2755" s="13"/>
      <c r="G2755" s="17"/>
      <c r="J2755" s="10"/>
    </row>
    <row r="2756">
      <c r="B2756" s="14"/>
      <c r="C2756" s="15"/>
      <c r="D2756" s="15"/>
      <c r="E2756" s="16"/>
      <c r="G2756" s="17"/>
      <c r="J2756" s="10"/>
    </row>
    <row r="2757">
      <c r="B2757" s="11"/>
      <c r="C2757" s="12"/>
      <c r="D2757" s="12"/>
      <c r="E2757" s="13"/>
      <c r="G2757" s="17"/>
      <c r="J2757" s="10"/>
    </row>
    <row r="2758">
      <c r="B2758" s="14"/>
      <c r="C2758" s="15"/>
      <c r="D2758" s="15"/>
      <c r="E2758" s="16"/>
      <c r="G2758" s="17"/>
      <c r="J2758" s="10"/>
    </row>
    <row r="2759">
      <c r="B2759" s="11"/>
      <c r="C2759" s="12"/>
      <c r="D2759" s="12"/>
      <c r="E2759" s="13"/>
      <c r="G2759" s="17"/>
      <c r="J2759" s="10"/>
    </row>
    <row r="2760">
      <c r="B2760" s="14"/>
      <c r="C2760" s="15"/>
      <c r="D2760" s="15"/>
      <c r="E2760" s="16"/>
      <c r="G2760" s="17"/>
      <c r="J2760" s="10"/>
    </row>
    <row r="2761">
      <c r="B2761" s="11"/>
      <c r="C2761" s="12"/>
      <c r="D2761" s="12"/>
      <c r="E2761" s="13"/>
      <c r="G2761" s="17"/>
      <c r="J2761" s="10"/>
    </row>
    <row r="2762">
      <c r="B2762" s="14"/>
      <c r="C2762" s="15"/>
      <c r="D2762" s="15"/>
      <c r="E2762" s="16"/>
      <c r="G2762" s="17"/>
      <c r="J2762" s="10"/>
    </row>
    <row r="2763">
      <c r="B2763" s="11"/>
      <c r="C2763" s="12"/>
      <c r="D2763" s="12"/>
      <c r="E2763" s="13"/>
      <c r="G2763" s="17"/>
      <c r="J2763" s="10"/>
    </row>
    <row r="2764">
      <c r="B2764" s="14"/>
      <c r="C2764" s="15"/>
      <c r="D2764" s="15"/>
      <c r="E2764" s="16"/>
      <c r="G2764" s="17"/>
      <c r="J2764" s="10"/>
    </row>
    <row r="2765">
      <c r="B2765" s="11"/>
      <c r="C2765" s="12"/>
      <c r="D2765" s="12"/>
      <c r="E2765" s="13"/>
      <c r="G2765" s="17"/>
      <c r="J2765" s="10"/>
    </row>
    <row r="2766">
      <c r="B2766" s="14"/>
      <c r="C2766" s="15"/>
      <c r="D2766" s="15"/>
      <c r="E2766" s="16"/>
      <c r="G2766" s="17"/>
      <c r="J2766" s="10"/>
    </row>
    <row r="2767">
      <c r="B2767" s="11"/>
      <c r="C2767" s="12"/>
      <c r="D2767" s="12"/>
      <c r="E2767" s="13"/>
      <c r="G2767" s="17"/>
      <c r="J2767" s="10"/>
    </row>
    <row r="2768">
      <c r="B2768" s="14"/>
      <c r="C2768" s="15"/>
      <c r="D2768" s="15"/>
      <c r="E2768" s="16"/>
      <c r="G2768" s="17"/>
      <c r="J2768" s="10"/>
    </row>
    <row r="2769">
      <c r="B2769" s="11"/>
      <c r="C2769" s="12"/>
      <c r="D2769" s="12"/>
      <c r="E2769" s="13"/>
      <c r="G2769" s="17"/>
      <c r="J2769" s="10"/>
    </row>
    <row r="2770">
      <c r="B2770" s="14"/>
      <c r="C2770" s="15"/>
      <c r="D2770" s="15"/>
      <c r="E2770" s="16"/>
      <c r="G2770" s="17"/>
      <c r="J2770" s="10"/>
    </row>
    <row r="2771">
      <c r="B2771" s="11"/>
      <c r="C2771" s="12"/>
      <c r="D2771" s="12"/>
      <c r="E2771" s="13"/>
      <c r="G2771" s="17"/>
      <c r="J2771" s="10"/>
    </row>
    <row r="2772">
      <c r="B2772" s="14"/>
      <c r="C2772" s="15"/>
      <c r="D2772" s="15"/>
      <c r="E2772" s="16"/>
      <c r="G2772" s="17"/>
      <c r="J2772" s="10"/>
    </row>
    <row r="2773">
      <c r="B2773" s="11"/>
      <c r="C2773" s="12"/>
      <c r="D2773" s="12"/>
      <c r="E2773" s="13"/>
      <c r="G2773" s="17"/>
      <c r="J2773" s="10"/>
    </row>
    <row r="2774">
      <c r="B2774" s="14"/>
      <c r="C2774" s="15"/>
      <c r="D2774" s="15"/>
      <c r="E2774" s="16"/>
      <c r="G2774" s="17"/>
      <c r="J2774" s="10"/>
    </row>
    <row r="2775">
      <c r="B2775" s="11"/>
      <c r="C2775" s="12"/>
      <c r="D2775" s="12"/>
      <c r="E2775" s="13"/>
      <c r="G2775" s="17"/>
      <c r="J2775" s="10"/>
    </row>
    <row r="2776">
      <c r="B2776" s="14"/>
      <c r="C2776" s="15"/>
      <c r="D2776" s="15"/>
      <c r="E2776" s="16"/>
      <c r="G2776" s="17"/>
      <c r="J2776" s="10"/>
    </row>
    <row r="2777">
      <c r="B2777" s="11"/>
      <c r="C2777" s="12"/>
      <c r="D2777" s="12"/>
      <c r="E2777" s="13"/>
      <c r="G2777" s="17"/>
      <c r="J2777" s="10"/>
    </row>
    <row r="2778">
      <c r="B2778" s="14"/>
      <c r="C2778" s="15"/>
      <c r="D2778" s="15"/>
      <c r="E2778" s="16"/>
      <c r="G2778" s="17"/>
      <c r="J2778" s="10"/>
    </row>
    <row r="2779">
      <c r="B2779" s="11"/>
      <c r="C2779" s="12"/>
      <c r="D2779" s="12"/>
      <c r="E2779" s="13"/>
      <c r="G2779" s="17"/>
      <c r="J2779" s="10"/>
    </row>
    <row r="2780">
      <c r="B2780" s="14"/>
      <c r="C2780" s="15"/>
      <c r="D2780" s="15"/>
      <c r="E2780" s="16"/>
      <c r="G2780" s="17"/>
      <c r="J2780" s="10"/>
    </row>
    <row r="2781">
      <c r="B2781" s="11"/>
      <c r="C2781" s="12"/>
      <c r="D2781" s="12"/>
      <c r="E2781" s="13"/>
      <c r="G2781" s="17"/>
      <c r="J2781" s="10"/>
    </row>
    <row r="2782">
      <c r="B2782" s="14"/>
      <c r="C2782" s="15"/>
      <c r="D2782" s="15"/>
      <c r="E2782" s="16"/>
      <c r="G2782" s="17"/>
      <c r="J2782" s="10"/>
    </row>
    <row r="2783">
      <c r="B2783" s="11"/>
      <c r="C2783" s="12"/>
      <c r="D2783" s="12"/>
      <c r="E2783" s="13"/>
      <c r="G2783" s="17"/>
      <c r="J2783" s="10"/>
    </row>
    <row r="2784">
      <c r="B2784" s="14"/>
      <c r="C2784" s="15"/>
      <c r="D2784" s="15"/>
      <c r="E2784" s="16"/>
      <c r="G2784" s="17"/>
      <c r="J2784" s="10"/>
    </row>
    <row r="2785">
      <c r="B2785" s="11"/>
      <c r="C2785" s="12"/>
      <c r="D2785" s="12"/>
      <c r="E2785" s="13"/>
      <c r="G2785" s="17"/>
      <c r="J2785" s="10"/>
    </row>
    <row r="2786">
      <c r="B2786" s="14"/>
      <c r="C2786" s="15"/>
      <c r="D2786" s="15"/>
      <c r="E2786" s="16"/>
      <c r="G2786" s="17"/>
      <c r="J2786" s="10"/>
    </row>
    <row r="2787">
      <c r="B2787" s="11"/>
      <c r="C2787" s="12"/>
      <c r="D2787" s="12"/>
      <c r="E2787" s="13"/>
      <c r="G2787" s="17"/>
      <c r="J2787" s="10"/>
    </row>
    <row r="2788">
      <c r="B2788" s="14"/>
      <c r="C2788" s="15"/>
      <c r="D2788" s="15"/>
      <c r="E2788" s="16"/>
      <c r="G2788" s="17"/>
      <c r="J2788" s="10"/>
    </row>
    <row r="2789">
      <c r="B2789" s="11"/>
      <c r="C2789" s="12"/>
      <c r="D2789" s="12"/>
      <c r="E2789" s="13"/>
      <c r="G2789" s="17"/>
      <c r="J2789" s="10"/>
    </row>
    <row r="2790">
      <c r="B2790" s="14"/>
      <c r="C2790" s="15"/>
      <c r="D2790" s="15"/>
      <c r="E2790" s="16"/>
      <c r="G2790" s="17"/>
      <c r="J2790" s="10"/>
    </row>
    <row r="2791">
      <c r="B2791" s="11"/>
      <c r="C2791" s="12"/>
      <c r="D2791" s="12"/>
      <c r="E2791" s="13"/>
      <c r="G2791" s="17"/>
      <c r="J2791" s="10"/>
    </row>
    <row r="2792">
      <c r="B2792" s="14"/>
      <c r="C2792" s="15"/>
      <c r="D2792" s="15"/>
      <c r="E2792" s="16"/>
      <c r="G2792" s="17"/>
      <c r="J2792" s="10"/>
    </row>
    <row r="2793">
      <c r="B2793" s="11"/>
      <c r="C2793" s="12"/>
      <c r="D2793" s="12"/>
      <c r="E2793" s="13"/>
      <c r="G2793" s="17"/>
      <c r="J2793" s="10"/>
    </row>
    <row r="2794">
      <c r="B2794" s="14"/>
      <c r="C2794" s="15"/>
      <c r="D2794" s="15"/>
      <c r="E2794" s="16"/>
      <c r="G2794" s="17"/>
      <c r="J2794" s="10"/>
    </row>
    <row r="2795">
      <c r="B2795" s="11"/>
      <c r="C2795" s="12"/>
      <c r="D2795" s="12"/>
      <c r="E2795" s="13"/>
      <c r="G2795" s="17"/>
      <c r="J2795" s="10"/>
    </row>
    <row r="2796">
      <c r="B2796" s="14"/>
      <c r="C2796" s="15"/>
      <c r="D2796" s="15"/>
      <c r="E2796" s="16"/>
      <c r="G2796" s="17"/>
      <c r="J2796" s="10"/>
    </row>
    <row r="2797">
      <c r="B2797" s="11"/>
      <c r="C2797" s="12"/>
      <c r="D2797" s="12"/>
      <c r="E2797" s="13"/>
      <c r="G2797" s="17"/>
      <c r="J2797" s="10"/>
    </row>
    <row r="2798">
      <c r="B2798" s="14"/>
      <c r="C2798" s="15"/>
      <c r="D2798" s="15"/>
      <c r="E2798" s="16"/>
      <c r="G2798" s="17"/>
      <c r="J2798" s="10"/>
    </row>
    <row r="2799">
      <c r="B2799" s="11"/>
      <c r="C2799" s="12"/>
      <c r="D2799" s="12"/>
      <c r="E2799" s="13"/>
      <c r="G2799" s="17"/>
      <c r="J2799" s="10"/>
    </row>
    <row r="2800">
      <c r="B2800" s="14"/>
      <c r="C2800" s="15"/>
      <c r="D2800" s="15"/>
      <c r="E2800" s="16"/>
      <c r="G2800" s="17"/>
      <c r="J2800" s="10"/>
    </row>
    <row r="2801">
      <c r="B2801" s="11"/>
      <c r="C2801" s="12"/>
      <c r="D2801" s="12"/>
      <c r="E2801" s="13"/>
      <c r="G2801" s="17"/>
      <c r="J2801" s="10"/>
    </row>
    <row r="2802">
      <c r="B2802" s="14"/>
      <c r="C2802" s="15"/>
      <c r="D2802" s="15"/>
      <c r="E2802" s="16"/>
      <c r="G2802" s="17"/>
      <c r="J2802" s="10"/>
    </row>
    <row r="2803">
      <c r="B2803" s="11"/>
      <c r="C2803" s="12"/>
      <c r="D2803" s="12"/>
      <c r="E2803" s="13"/>
      <c r="G2803" s="17"/>
      <c r="J2803" s="10"/>
    </row>
    <row r="2804">
      <c r="B2804" s="14"/>
      <c r="C2804" s="15"/>
      <c r="D2804" s="15"/>
      <c r="E2804" s="16"/>
      <c r="G2804" s="17"/>
      <c r="J2804" s="10"/>
    </row>
    <row r="2805">
      <c r="B2805" s="11"/>
      <c r="C2805" s="12"/>
      <c r="D2805" s="12"/>
      <c r="E2805" s="13"/>
      <c r="G2805" s="17"/>
      <c r="J2805" s="10"/>
    </row>
    <row r="2806">
      <c r="B2806" s="14"/>
      <c r="C2806" s="15"/>
      <c r="D2806" s="15"/>
      <c r="E2806" s="16"/>
      <c r="G2806" s="17"/>
      <c r="J2806" s="10"/>
    </row>
    <row r="2807">
      <c r="B2807" s="11"/>
      <c r="C2807" s="12"/>
      <c r="D2807" s="12"/>
      <c r="E2807" s="13"/>
      <c r="G2807" s="17"/>
      <c r="J2807" s="10"/>
    </row>
    <row r="2808">
      <c r="B2808" s="14"/>
      <c r="C2808" s="15"/>
      <c r="D2808" s="15"/>
      <c r="E2808" s="16"/>
      <c r="G2808" s="17"/>
      <c r="J2808" s="10"/>
    </row>
    <row r="2809">
      <c r="B2809" s="11"/>
      <c r="C2809" s="12"/>
      <c r="D2809" s="12"/>
      <c r="E2809" s="13"/>
      <c r="G2809" s="17"/>
      <c r="J2809" s="10"/>
    </row>
    <row r="2810">
      <c r="B2810" s="14"/>
      <c r="C2810" s="15"/>
      <c r="D2810" s="15"/>
      <c r="E2810" s="16"/>
      <c r="G2810" s="17"/>
      <c r="J2810" s="10"/>
    </row>
    <row r="2811">
      <c r="B2811" s="11"/>
      <c r="C2811" s="12"/>
      <c r="D2811" s="12"/>
      <c r="E2811" s="13"/>
      <c r="G2811" s="17"/>
      <c r="J2811" s="10"/>
    </row>
    <row r="2812">
      <c r="B2812" s="14"/>
      <c r="C2812" s="15"/>
      <c r="D2812" s="15"/>
      <c r="E2812" s="16"/>
      <c r="G2812" s="17"/>
      <c r="J2812" s="10"/>
    </row>
    <row r="2813">
      <c r="B2813" s="11"/>
      <c r="C2813" s="12"/>
      <c r="D2813" s="12"/>
      <c r="E2813" s="13"/>
      <c r="G2813" s="17"/>
      <c r="J2813" s="10"/>
    </row>
    <row r="2814">
      <c r="B2814" s="14"/>
      <c r="C2814" s="15"/>
      <c r="D2814" s="15"/>
      <c r="E2814" s="16"/>
      <c r="G2814" s="17"/>
      <c r="J2814" s="10"/>
    </row>
    <row r="2815">
      <c r="B2815" s="11"/>
      <c r="C2815" s="12"/>
      <c r="D2815" s="12"/>
      <c r="E2815" s="13"/>
      <c r="G2815" s="17"/>
      <c r="J2815" s="10"/>
    </row>
    <row r="2816">
      <c r="B2816" s="14"/>
      <c r="C2816" s="15"/>
      <c r="D2816" s="15"/>
      <c r="E2816" s="16"/>
      <c r="G2816" s="17"/>
      <c r="J2816" s="10"/>
    </row>
    <row r="2817">
      <c r="B2817" s="11"/>
      <c r="C2817" s="12"/>
      <c r="D2817" s="12"/>
      <c r="E2817" s="13"/>
      <c r="G2817" s="17"/>
      <c r="J2817" s="10"/>
    </row>
    <row r="2818">
      <c r="B2818" s="14"/>
      <c r="C2818" s="15"/>
      <c r="D2818" s="15"/>
      <c r="E2818" s="16"/>
      <c r="G2818" s="17"/>
      <c r="J2818" s="10"/>
    </row>
    <row r="2819">
      <c r="B2819" s="11"/>
      <c r="C2819" s="12"/>
      <c r="D2819" s="12"/>
      <c r="E2819" s="13"/>
      <c r="G2819" s="17"/>
      <c r="J2819" s="10"/>
    </row>
    <row r="2820">
      <c r="B2820" s="14"/>
      <c r="C2820" s="15"/>
      <c r="D2820" s="15"/>
      <c r="E2820" s="16"/>
      <c r="G2820" s="17"/>
      <c r="J2820" s="10"/>
    </row>
    <row r="2821">
      <c r="B2821" s="11"/>
      <c r="C2821" s="12"/>
      <c r="D2821" s="12"/>
      <c r="E2821" s="13"/>
      <c r="G2821" s="17"/>
      <c r="J2821" s="10"/>
    </row>
    <row r="2822">
      <c r="B2822" s="14"/>
      <c r="C2822" s="15"/>
      <c r="D2822" s="15"/>
      <c r="E2822" s="16"/>
      <c r="G2822" s="17"/>
      <c r="J2822" s="10"/>
    </row>
    <row r="2823">
      <c r="B2823" s="11"/>
      <c r="C2823" s="12"/>
      <c r="D2823" s="12"/>
      <c r="E2823" s="13"/>
      <c r="G2823" s="17"/>
      <c r="J2823" s="10"/>
    </row>
    <row r="2824">
      <c r="B2824" s="14"/>
      <c r="C2824" s="15"/>
      <c r="D2824" s="15"/>
      <c r="E2824" s="16"/>
      <c r="G2824" s="17"/>
      <c r="J2824" s="10"/>
    </row>
    <row r="2825">
      <c r="B2825" s="11"/>
      <c r="C2825" s="12"/>
      <c r="D2825" s="12"/>
      <c r="E2825" s="13"/>
      <c r="G2825" s="17"/>
      <c r="J2825" s="10"/>
    </row>
    <row r="2826">
      <c r="B2826" s="14"/>
      <c r="C2826" s="15"/>
      <c r="D2826" s="15"/>
      <c r="E2826" s="16"/>
      <c r="G2826" s="17"/>
      <c r="J2826" s="10"/>
    </row>
    <row r="2827">
      <c r="B2827" s="11"/>
      <c r="C2827" s="12"/>
      <c r="D2827" s="12"/>
      <c r="E2827" s="13"/>
      <c r="G2827" s="17"/>
      <c r="J2827" s="10"/>
    </row>
    <row r="2828">
      <c r="B2828" s="14"/>
      <c r="C2828" s="15"/>
      <c r="D2828" s="15"/>
      <c r="E2828" s="16"/>
      <c r="G2828" s="17"/>
      <c r="J2828" s="10"/>
    </row>
    <row r="2829">
      <c r="B2829" s="11"/>
      <c r="C2829" s="12"/>
      <c r="D2829" s="12"/>
      <c r="E2829" s="13"/>
      <c r="G2829" s="17"/>
      <c r="J2829" s="10"/>
    </row>
    <row r="2830">
      <c r="B2830" s="14"/>
      <c r="C2830" s="15"/>
      <c r="D2830" s="15"/>
      <c r="E2830" s="16"/>
      <c r="G2830" s="17"/>
      <c r="J2830" s="10"/>
    </row>
    <row r="2831">
      <c r="B2831" s="11"/>
      <c r="C2831" s="12"/>
      <c r="D2831" s="12"/>
      <c r="E2831" s="13"/>
      <c r="G2831" s="17"/>
      <c r="J2831" s="10"/>
    </row>
    <row r="2832">
      <c r="B2832" s="14"/>
      <c r="C2832" s="15"/>
      <c r="D2832" s="15"/>
      <c r="E2832" s="16"/>
      <c r="G2832" s="17"/>
      <c r="J2832" s="10"/>
    </row>
    <row r="2833">
      <c r="B2833" s="11"/>
      <c r="C2833" s="12"/>
      <c r="D2833" s="12"/>
      <c r="E2833" s="13"/>
      <c r="G2833" s="17"/>
      <c r="J2833" s="10"/>
    </row>
    <row r="2834">
      <c r="B2834" s="14"/>
      <c r="C2834" s="15"/>
      <c r="D2834" s="15"/>
      <c r="E2834" s="16"/>
      <c r="G2834" s="17"/>
      <c r="J2834" s="10"/>
    </row>
    <row r="2835">
      <c r="B2835" s="11"/>
      <c r="C2835" s="12"/>
      <c r="D2835" s="12"/>
      <c r="E2835" s="13"/>
      <c r="G2835" s="17"/>
      <c r="J2835" s="10"/>
    </row>
    <row r="2836">
      <c r="B2836" s="14"/>
      <c r="C2836" s="15"/>
      <c r="D2836" s="15"/>
      <c r="E2836" s="16"/>
      <c r="G2836" s="17"/>
      <c r="J2836" s="10"/>
    </row>
    <row r="2837">
      <c r="B2837" s="11"/>
      <c r="C2837" s="12"/>
      <c r="D2837" s="12"/>
      <c r="E2837" s="13"/>
      <c r="G2837" s="17"/>
      <c r="J2837" s="10"/>
    </row>
    <row r="2838">
      <c r="B2838" s="14"/>
      <c r="C2838" s="15"/>
      <c r="D2838" s="15"/>
      <c r="E2838" s="16"/>
      <c r="G2838" s="17"/>
      <c r="J2838" s="10"/>
    </row>
    <row r="2839">
      <c r="B2839" s="11"/>
      <c r="C2839" s="12"/>
      <c r="D2839" s="12"/>
      <c r="E2839" s="13"/>
      <c r="G2839" s="17"/>
      <c r="J2839" s="10"/>
    </row>
    <row r="2840">
      <c r="B2840" s="14"/>
      <c r="C2840" s="15"/>
      <c r="D2840" s="15"/>
      <c r="E2840" s="16"/>
      <c r="G2840" s="17"/>
      <c r="J2840" s="10"/>
    </row>
    <row r="2841">
      <c r="B2841" s="11"/>
      <c r="C2841" s="12"/>
      <c r="D2841" s="12"/>
      <c r="E2841" s="13"/>
      <c r="G2841" s="17"/>
      <c r="J2841" s="10"/>
    </row>
    <row r="2842">
      <c r="B2842" s="14"/>
      <c r="C2842" s="15"/>
      <c r="D2842" s="15"/>
      <c r="E2842" s="16"/>
      <c r="G2842" s="17"/>
      <c r="J2842" s="10"/>
    </row>
    <row r="2843">
      <c r="B2843" s="11"/>
      <c r="C2843" s="12"/>
      <c r="D2843" s="12"/>
      <c r="E2843" s="13"/>
      <c r="G2843" s="17"/>
      <c r="J2843" s="10"/>
    </row>
    <row r="2844">
      <c r="B2844" s="14"/>
      <c r="C2844" s="15"/>
      <c r="D2844" s="15"/>
      <c r="E2844" s="16"/>
      <c r="G2844" s="17"/>
      <c r="J2844" s="10"/>
    </row>
    <row r="2845">
      <c r="B2845" s="11"/>
      <c r="C2845" s="12"/>
      <c r="D2845" s="12"/>
      <c r="E2845" s="13"/>
      <c r="G2845" s="17"/>
      <c r="J2845" s="10"/>
    </row>
    <row r="2846">
      <c r="B2846" s="14"/>
      <c r="C2846" s="15"/>
      <c r="D2846" s="15"/>
      <c r="E2846" s="16"/>
      <c r="G2846" s="17"/>
      <c r="J2846" s="10"/>
    </row>
    <row r="2847">
      <c r="B2847" s="11"/>
      <c r="C2847" s="12"/>
      <c r="D2847" s="12"/>
      <c r="E2847" s="13"/>
      <c r="G2847" s="17"/>
      <c r="J2847" s="10"/>
    </row>
    <row r="2848">
      <c r="B2848" s="14"/>
      <c r="C2848" s="15"/>
      <c r="D2848" s="15"/>
      <c r="E2848" s="16"/>
      <c r="G2848" s="17"/>
      <c r="J2848" s="10"/>
    </row>
    <row r="2849">
      <c r="B2849" s="11"/>
      <c r="C2849" s="12"/>
      <c r="D2849" s="12"/>
      <c r="E2849" s="13"/>
      <c r="G2849" s="17"/>
      <c r="J2849" s="10"/>
    </row>
    <row r="2850">
      <c r="B2850" s="14"/>
      <c r="C2850" s="15"/>
      <c r="D2850" s="15"/>
      <c r="E2850" s="16"/>
      <c r="G2850" s="17"/>
      <c r="J2850" s="10"/>
    </row>
    <row r="2851">
      <c r="B2851" s="11"/>
      <c r="C2851" s="12"/>
      <c r="D2851" s="12"/>
      <c r="E2851" s="13"/>
      <c r="G2851" s="17"/>
      <c r="J2851" s="10"/>
    </row>
    <row r="2852">
      <c r="B2852" s="14"/>
      <c r="C2852" s="15"/>
      <c r="D2852" s="15"/>
      <c r="E2852" s="16"/>
      <c r="G2852" s="17"/>
      <c r="J2852" s="10"/>
    </row>
    <row r="2853">
      <c r="B2853" s="11"/>
      <c r="C2853" s="12"/>
      <c r="D2853" s="12"/>
      <c r="E2853" s="13"/>
      <c r="G2853" s="17"/>
      <c r="J2853" s="10"/>
    </row>
    <row r="2854">
      <c r="B2854" s="14"/>
      <c r="C2854" s="15"/>
      <c r="D2854" s="15"/>
      <c r="E2854" s="16"/>
      <c r="G2854" s="17"/>
      <c r="J2854" s="10"/>
    </row>
    <row r="2855">
      <c r="B2855" s="11"/>
      <c r="C2855" s="12"/>
      <c r="D2855" s="12"/>
      <c r="E2855" s="13"/>
      <c r="G2855" s="17"/>
      <c r="J2855" s="10"/>
    </row>
    <row r="2856">
      <c r="B2856" s="14"/>
      <c r="C2856" s="15"/>
      <c r="D2856" s="15"/>
      <c r="E2856" s="16"/>
      <c r="G2856" s="17"/>
      <c r="J2856" s="10"/>
    </row>
    <row r="2857">
      <c r="B2857" s="11"/>
      <c r="C2857" s="12"/>
      <c r="D2857" s="12"/>
      <c r="E2857" s="13"/>
      <c r="G2857" s="17"/>
      <c r="J2857" s="10"/>
    </row>
    <row r="2858">
      <c r="B2858" s="14"/>
      <c r="C2858" s="15"/>
      <c r="D2858" s="15"/>
      <c r="E2858" s="16"/>
      <c r="G2858" s="17"/>
      <c r="J2858" s="10"/>
    </row>
    <row r="2859">
      <c r="B2859" s="11"/>
      <c r="C2859" s="12"/>
      <c r="D2859" s="12"/>
      <c r="E2859" s="13"/>
      <c r="G2859" s="17"/>
      <c r="J2859" s="10"/>
    </row>
    <row r="2860">
      <c r="B2860" s="14"/>
      <c r="C2860" s="15"/>
      <c r="D2860" s="15"/>
      <c r="E2860" s="16"/>
      <c r="G2860" s="17"/>
      <c r="J2860" s="10"/>
    </row>
    <row r="2861">
      <c r="B2861" s="11"/>
      <c r="C2861" s="12"/>
      <c r="D2861" s="12"/>
      <c r="E2861" s="13"/>
      <c r="G2861" s="17"/>
      <c r="J2861" s="10"/>
    </row>
    <row r="2862">
      <c r="B2862" s="14"/>
      <c r="C2862" s="15"/>
      <c r="D2862" s="15"/>
      <c r="E2862" s="16"/>
      <c r="G2862" s="17"/>
      <c r="J2862" s="10"/>
    </row>
    <row r="2863">
      <c r="B2863" s="11"/>
      <c r="C2863" s="12"/>
      <c r="D2863" s="12"/>
      <c r="E2863" s="13"/>
      <c r="G2863" s="17"/>
      <c r="J2863" s="10"/>
    </row>
    <row r="2864">
      <c r="B2864" s="14"/>
      <c r="C2864" s="15"/>
      <c r="D2864" s="15"/>
      <c r="E2864" s="16"/>
      <c r="G2864" s="17"/>
      <c r="J2864" s="10"/>
    </row>
    <row r="2865">
      <c r="B2865" s="11"/>
      <c r="C2865" s="12"/>
      <c r="D2865" s="12"/>
      <c r="E2865" s="13"/>
      <c r="G2865" s="17"/>
      <c r="J2865" s="10"/>
    </row>
    <row r="2866">
      <c r="B2866" s="14"/>
      <c r="C2866" s="15"/>
      <c r="D2866" s="15"/>
      <c r="E2866" s="16"/>
      <c r="G2866" s="17"/>
      <c r="J2866" s="10"/>
    </row>
    <row r="2867">
      <c r="B2867" s="11"/>
      <c r="C2867" s="12"/>
      <c r="D2867" s="12"/>
      <c r="E2867" s="13"/>
      <c r="G2867" s="17"/>
      <c r="J2867" s="10"/>
    </row>
    <row r="2868">
      <c r="B2868" s="14"/>
      <c r="C2868" s="15"/>
      <c r="D2868" s="15"/>
      <c r="E2868" s="16"/>
      <c r="G2868" s="17"/>
      <c r="J2868" s="10"/>
    </row>
    <row r="2869">
      <c r="B2869" s="11"/>
      <c r="C2869" s="12"/>
      <c r="D2869" s="12"/>
      <c r="E2869" s="13"/>
      <c r="G2869" s="17"/>
      <c r="J2869" s="10"/>
    </row>
    <row r="2870">
      <c r="B2870" s="14"/>
      <c r="C2870" s="15"/>
      <c r="D2870" s="15"/>
      <c r="E2870" s="16"/>
      <c r="G2870" s="17"/>
      <c r="J2870" s="10"/>
    </row>
    <row r="2871">
      <c r="B2871" s="11"/>
      <c r="C2871" s="12"/>
      <c r="D2871" s="12"/>
      <c r="E2871" s="13"/>
      <c r="G2871" s="17"/>
      <c r="J2871" s="10"/>
    </row>
    <row r="2872">
      <c r="B2872" s="14"/>
      <c r="C2872" s="15"/>
      <c r="D2872" s="15"/>
      <c r="E2872" s="16"/>
      <c r="G2872" s="17"/>
      <c r="J2872" s="10"/>
    </row>
    <row r="2873">
      <c r="B2873" s="11"/>
      <c r="C2873" s="12"/>
      <c r="D2873" s="12"/>
      <c r="E2873" s="13"/>
      <c r="G2873" s="17"/>
      <c r="J2873" s="10"/>
    </row>
    <row r="2874">
      <c r="B2874" s="14"/>
      <c r="C2874" s="15"/>
      <c r="D2874" s="15"/>
      <c r="E2874" s="16"/>
      <c r="G2874" s="17"/>
      <c r="J2874" s="10"/>
    </row>
    <row r="2875">
      <c r="B2875" s="11"/>
      <c r="C2875" s="12"/>
      <c r="D2875" s="12"/>
      <c r="E2875" s="13"/>
      <c r="G2875" s="17"/>
      <c r="J2875" s="10"/>
    </row>
    <row r="2876">
      <c r="B2876" s="14"/>
      <c r="C2876" s="15"/>
      <c r="D2876" s="15"/>
      <c r="E2876" s="16"/>
      <c r="G2876" s="17"/>
      <c r="J2876" s="10"/>
    </row>
    <row r="2877">
      <c r="B2877" s="11"/>
      <c r="C2877" s="12"/>
      <c r="D2877" s="12"/>
      <c r="E2877" s="13"/>
      <c r="G2877" s="17"/>
      <c r="J2877" s="10"/>
    </row>
    <row r="2878">
      <c r="B2878" s="14"/>
      <c r="C2878" s="15"/>
      <c r="D2878" s="15"/>
      <c r="E2878" s="16"/>
      <c r="G2878" s="17"/>
      <c r="J2878" s="10"/>
    </row>
    <row r="2879">
      <c r="B2879" s="11"/>
      <c r="C2879" s="12"/>
      <c r="D2879" s="12"/>
      <c r="E2879" s="13"/>
      <c r="G2879" s="17"/>
      <c r="J2879" s="10"/>
    </row>
    <row r="2880">
      <c r="B2880" s="14"/>
      <c r="C2880" s="15"/>
      <c r="D2880" s="15"/>
      <c r="E2880" s="16"/>
      <c r="G2880" s="17"/>
      <c r="J2880" s="10"/>
    </row>
    <row r="2881">
      <c r="B2881" s="11"/>
      <c r="C2881" s="12"/>
      <c r="D2881" s="12"/>
      <c r="E2881" s="13"/>
      <c r="G2881" s="17"/>
      <c r="J2881" s="10"/>
    </row>
    <row r="2882">
      <c r="B2882" s="14"/>
      <c r="C2882" s="15"/>
      <c r="D2882" s="15"/>
      <c r="E2882" s="16"/>
      <c r="G2882" s="17"/>
      <c r="J2882" s="10"/>
    </row>
    <row r="2883">
      <c r="B2883" s="11"/>
      <c r="C2883" s="12"/>
      <c r="D2883" s="12"/>
      <c r="E2883" s="13"/>
      <c r="G2883" s="17"/>
      <c r="J2883" s="10"/>
    </row>
    <row r="2884">
      <c r="B2884" s="14"/>
      <c r="C2884" s="15"/>
      <c r="D2884" s="15"/>
      <c r="E2884" s="16"/>
      <c r="G2884" s="17"/>
      <c r="J2884" s="10"/>
    </row>
    <row r="2885">
      <c r="B2885" s="11"/>
      <c r="C2885" s="12"/>
      <c r="D2885" s="12"/>
      <c r="E2885" s="13"/>
      <c r="G2885" s="17"/>
      <c r="J2885" s="10"/>
    </row>
    <row r="2886">
      <c r="B2886" s="14"/>
      <c r="C2886" s="15"/>
      <c r="D2886" s="15"/>
      <c r="E2886" s="16"/>
      <c r="G2886" s="17"/>
      <c r="J2886" s="10"/>
    </row>
    <row r="2887">
      <c r="B2887" s="11"/>
      <c r="C2887" s="12"/>
      <c r="D2887" s="12"/>
      <c r="E2887" s="13"/>
      <c r="G2887" s="17"/>
      <c r="J2887" s="10"/>
    </row>
    <row r="2888">
      <c r="B2888" s="14"/>
      <c r="C2888" s="15"/>
      <c r="D2888" s="15"/>
      <c r="E2888" s="16"/>
      <c r="G2888" s="17"/>
      <c r="J2888" s="10"/>
    </row>
    <row r="2889">
      <c r="B2889" s="11"/>
      <c r="C2889" s="12"/>
      <c r="D2889" s="12"/>
      <c r="E2889" s="13"/>
      <c r="G2889" s="17"/>
      <c r="J2889" s="10"/>
    </row>
    <row r="2890">
      <c r="B2890" s="14"/>
      <c r="C2890" s="15"/>
      <c r="D2890" s="15"/>
      <c r="E2890" s="16"/>
      <c r="G2890" s="17"/>
      <c r="J2890" s="10"/>
    </row>
    <row r="2891">
      <c r="B2891" s="11"/>
      <c r="C2891" s="12"/>
      <c r="D2891" s="12"/>
      <c r="E2891" s="13"/>
      <c r="G2891" s="17"/>
      <c r="J2891" s="10"/>
    </row>
    <row r="2892">
      <c r="B2892" s="14"/>
      <c r="C2892" s="15"/>
      <c r="D2892" s="15"/>
      <c r="E2892" s="16"/>
      <c r="G2892" s="17"/>
      <c r="J2892" s="10"/>
    </row>
    <row r="2893">
      <c r="B2893" s="11"/>
      <c r="C2893" s="12"/>
      <c r="D2893" s="12"/>
      <c r="E2893" s="13"/>
      <c r="G2893" s="17"/>
      <c r="J2893" s="10"/>
    </row>
    <row r="2894">
      <c r="B2894" s="14"/>
      <c r="C2894" s="15"/>
      <c r="D2894" s="15"/>
      <c r="E2894" s="16"/>
      <c r="G2894" s="17"/>
      <c r="J2894" s="10"/>
    </row>
    <row r="2895">
      <c r="B2895" s="11"/>
      <c r="C2895" s="12"/>
      <c r="D2895" s="12"/>
      <c r="E2895" s="13"/>
      <c r="G2895" s="17"/>
      <c r="J2895" s="10"/>
    </row>
    <row r="2896">
      <c r="B2896" s="14"/>
      <c r="C2896" s="15"/>
      <c r="D2896" s="15"/>
      <c r="E2896" s="16"/>
      <c r="G2896" s="17"/>
      <c r="J2896" s="10"/>
    </row>
    <row r="2897">
      <c r="B2897" s="11"/>
      <c r="C2897" s="12"/>
      <c r="D2897" s="12"/>
      <c r="E2897" s="13"/>
      <c r="G2897" s="17"/>
      <c r="J2897" s="10"/>
    </row>
    <row r="2898">
      <c r="B2898" s="14"/>
      <c r="C2898" s="15"/>
      <c r="D2898" s="15"/>
      <c r="E2898" s="16"/>
      <c r="G2898" s="17"/>
      <c r="J2898" s="10"/>
    </row>
    <row r="2899">
      <c r="B2899" s="11"/>
      <c r="C2899" s="12"/>
      <c r="D2899" s="12"/>
      <c r="E2899" s="13"/>
      <c r="G2899" s="17"/>
      <c r="J2899" s="10"/>
    </row>
    <row r="2900">
      <c r="B2900" s="14"/>
      <c r="C2900" s="15"/>
      <c r="D2900" s="15"/>
      <c r="E2900" s="16"/>
      <c r="G2900" s="17"/>
      <c r="J2900" s="10"/>
    </row>
    <row r="2901">
      <c r="B2901" s="11"/>
      <c r="C2901" s="12"/>
      <c r="D2901" s="12"/>
      <c r="E2901" s="13"/>
      <c r="G2901" s="17"/>
      <c r="J2901" s="10"/>
    </row>
    <row r="2902">
      <c r="B2902" s="14"/>
      <c r="C2902" s="15"/>
      <c r="D2902" s="15"/>
      <c r="E2902" s="16"/>
      <c r="G2902" s="17"/>
      <c r="J2902" s="10"/>
    </row>
    <row r="2903">
      <c r="B2903" s="11"/>
      <c r="C2903" s="12"/>
      <c r="D2903" s="12"/>
      <c r="E2903" s="13"/>
      <c r="G2903" s="17"/>
      <c r="J2903" s="10"/>
    </row>
    <row r="2904">
      <c r="B2904" s="14"/>
      <c r="C2904" s="15"/>
      <c r="D2904" s="15"/>
      <c r="E2904" s="16"/>
      <c r="G2904" s="17"/>
      <c r="J2904" s="10"/>
    </row>
    <row r="2905">
      <c r="B2905" s="11"/>
      <c r="C2905" s="12"/>
      <c r="D2905" s="12"/>
      <c r="E2905" s="13"/>
      <c r="G2905" s="17"/>
      <c r="J2905" s="10"/>
    </row>
    <row r="2906">
      <c r="B2906" s="14"/>
      <c r="C2906" s="15"/>
      <c r="D2906" s="15"/>
      <c r="E2906" s="16"/>
      <c r="G2906" s="17"/>
      <c r="J2906" s="10"/>
    </row>
    <row r="2907">
      <c r="B2907" s="11"/>
      <c r="C2907" s="12"/>
      <c r="D2907" s="12"/>
      <c r="E2907" s="13"/>
      <c r="G2907" s="17"/>
      <c r="J2907" s="10"/>
    </row>
    <row r="2908">
      <c r="B2908" s="14"/>
      <c r="C2908" s="15"/>
      <c r="D2908" s="15"/>
      <c r="E2908" s="16"/>
      <c r="G2908" s="17"/>
      <c r="J2908" s="10"/>
    </row>
    <row r="2909">
      <c r="B2909" s="11"/>
      <c r="C2909" s="12"/>
      <c r="D2909" s="12"/>
      <c r="E2909" s="13"/>
      <c r="G2909" s="17"/>
      <c r="J2909" s="10"/>
    </row>
    <row r="2910">
      <c r="B2910" s="14"/>
      <c r="C2910" s="15"/>
      <c r="D2910" s="15"/>
      <c r="E2910" s="16"/>
      <c r="G2910" s="17"/>
      <c r="J2910" s="10"/>
    </row>
    <row r="2911">
      <c r="B2911" s="11"/>
      <c r="C2911" s="12"/>
      <c r="D2911" s="12"/>
      <c r="E2911" s="13"/>
      <c r="G2911" s="17"/>
      <c r="J2911" s="10"/>
    </row>
    <row r="2912">
      <c r="B2912" s="14"/>
      <c r="C2912" s="15"/>
      <c r="D2912" s="15"/>
      <c r="E2912" s="16"/>
      <c r="G2912" s="17"/>
      <c r="J2912" s="10"/>
    </row>
    <row r="2913">
      <c r="B2913" s="11"/>
      <c r="C2913" s="12"/>
      <c r="D2913" s="12"/>
      <c r="E2913" s="13"/>
      <c r="G2913" s="17"/>
      <c r="J2913" s="10"/>
    </row>
    <row r="2914">
      <c r="B2914" s="14"/>
      <c r="C2914" s="15"/>
      <c r="D2914" s="15"/>
      <c r="E2914" s="16"/>
      <c r="G2914" s="17"/>
      <c r="J2914" s="10"/>
    </row>
    <row r="2915">
      <c r="B2915" s="11"/>
      <c r="C2915" s="12"/>
      <c r="D2915" s="12"/>
      <c r="E2915" s="13"/>
      <c r="G2915" s="17"/>
      <c r="J2915" s="10"/>
    </row>
    <row r="2916">
      <c r="B2916" s="14"/>
      <c r="C2916" s="15"/>
      <c r="D2916" s="15"/>
      <c r="E2916" s="16"/>
      <c r="G2916" s="17"/>
      <c r="J2916" s="10"/>
    </row>
    <row r="2917">
      <c r="B2917" s="11"/>
      <c r="C2917" s="12"/>
      <c r="D2917" s="12"/>
      <c r="E2917" s="13"/>
      <c r="G2917" s="17"/>
      <c r="J2917" s="10"/>
    </row>
    <row r="2918">
      <c r="B2918" s="14"/>
      <c r="C2918" s="15"/>
      <c r="D2918" s="15"/>
      <c r="E2918" s="16"/>
      <c r="G2918" s="17"/>
      <c r="J2918" s="10"/>
    </row>
    <row r="2919">
      <c r="B2919" s="11"/>
      <c r="C2919" s="12"/>
      <c r="D2919" s="12"/>
      <c r="E2919" s="13"/>
      <c r="G2919" s="17"/>
      <c r="J2919" s="10"/>
    </row>
    <row r="2920">
      <c r="B2920" s="14"/>
      <c r="C2920" s="15"/>
      <c r="D2920" s="15"/>
      <c r="E2920" s="16"/>
      <c r="G2920" s="17"/>
      <c r="J2920" s="10"/>
    </row>
    <row r="2921">
      <c r="B2921" s="11"/>
      <c r="C2921" s="12"/>
      <c r="D2921" s="12"/>
      <c r="E2921" s="13"/>
      <c r="G2921" s="17"/>
      <c r="J2921" s="10"/>
    </row>
    <row r="2922">
      <c r="B2922" s="14"/>
      <c r="C2922" s="15"/>
      <c r="D2922" s="15"/>
      <c r="E2922" s="16"/>
      <c r="G2922" s="17"/>
      <c r="J2922" s="10"/>
    </row>
    <row r="2923">
      <c r="B2923" s="11"/>
      <c r="C2923" s="12"/>
      <c r="D2923" s="12"/>
      <c r="E2923" s="13"/>
      <c r="G2923" s="17"/>
      <c r="J2923" s="10"/>
    </row>
    <row r="2924">
      <c r="B2924" s="14"/>
      <c r="C2924" s="15"/>
      <c r="D2924" s="15"/>
      <c r="E2924" s="16"/>
      <c r="G2924" s="17"/>
      <c r="J2924" s="10"/>
    </row>
    <row r="2925">
      <c r="B2925" s="11"/>
      <c r="C2925" s="12"/>
      <c r="D2925" s="12"/>
      <c r="E2925" s="13"/>
      <c r="G2925" s="17"/>
      <c r="J2925" s="10"/>
    </row>
    <row r="2926">
      <c r="B2926" s="14"/>
      <c r="C2926" s="15"/>
      <c r="D2926" s="15"/>
      <c r="E2926" s="16"/>
      <c r="G2926" s="17"/>
      <c r="J2926" s="10"/>
    </row>
    <row r="2927">
      <c r="B2927" s="11"/>
      <c r="C2927" s="12"/>
      <c r="D2927" s="12"/>
      <c r="E2927" s="13"/>
      <c r="G2927" s="17"/>
      <c r="J2927" s="10"/>
    </row>
    <row r="2928">
      <c r="B2928" s="14"/>
      <c r="C2928" s="15"/>
      <c r="D2928" s="15"/>
      <c r="E2928" s="16"/>
      <c r="G2928" s="17"/>
      <c r="J2928" s="10"/>
    </row>
    <row r="2929">
      <c r="B2929" s="11"/>
      <c r="C2929" s="12"/>
      <c r="D2929" s="12"/>
      <c r="E2929" s="13"/>
      <c r="G2929" s="17"/>
      <c r="J2929" s="10"/>
    </row>
    <row r="2930">
      <c r="B2930" s="14"/>
      <c r="C2930" s="15"/>
      <c r="D2930" s="15"/>
      <c r="E2930" s="16"/>
      <c r="G2930" s="17"/>
      <c r="J2930" s="10"/>
    </row>
    <row r="2931">
      <c r="B2931" s="11"/>
      <c r="C2931" s="12"/>
      <c r="D2931" s="12"/>
      <c r="E2931" s="13"/>
      <c r="G2931" s="17"/>
      <c r="J2931" s="10"/>
    </row>
    <row r="2932">
      <c r="B2932" s="14"/>
      <c r="C2932" s="15"/>
      <c r="D2932" s="15"/>
      <c r="E2932" s="16"/>
      <c r="G2932" s="17"/>
      <c r="J2932" s="10"/>
    </row>
    <row r="2933">
      <c r="B2933" s="11"/>
      <c r="C2933" s="12"/>
      <c r="D2933" s="12"/>
      <c r="E2933" s="13"/>
      <c r="G2933" s="17"/>
      <c r="J2933" s="10"/>
    </row>
    <row r="2934">
      <c r="B2934" s="14"/>
      <c r="C2934" s="15"/>
      <c r="D2934" s="15"/>
      <c r="E2934" s="16"/>
      <c r="G2934" s="17"/>
      <c r="J2934" s="10"/>
    </row>
    <row r="2935">
      <c r="B2935" s="11"/>
      <c r="C2935" s="12"/>
      <c r="D2935" s="12"/>
      <c r="E2935" s="13"/>
      <c r="G2935" s="17"/>
      <c r="J2935" s="10"/>
    </row>
    <row r="2936">
      <c r="B2936" s="14"/>
      <c r="C2936" s="15"/>
      <c r="D2936" s="15"/>
      <c r="E2936" s="16"/>
      <c r="G2936" s="17"/>
      <c r="J2936" s="10"/>
    </row>
    <row r="2937">
      <c r="B2937" s="11"/>
      <c r="C2937" s="12"/>
      <c r="D2937" s="12"/>
      <c r="E2937" s="13"/>
      <c r="G2937" s="17"/>
      <c r="J2937" s="10"/>
    </row>
    <row r="2938">
      <c r="B2938" s="14"/>
      <c r="C2938" s="15"/>
      <c r="D2938" s="15"/>
      <c r="E2938" s="16"/>
      <c r="G2938" s="17"/>
      <c r="J2938" s="10"/>
    </row>
    <row r="2939">
      <c r="B2939" s="11"/>
      <c r="C2939" s="12"/>
      <c r="D2939" s="12"/>
      <c r="E2939" s="13"/>
      <c r="G2939" s="17"/>
      <c r="J2939" s="10"/>
    </row>
    <row r="2940">
      <c r="B2940" s="14"/>
      <c r="C2940" s="15"/>
      <c r="D2940" s="15"/>
      <c r="E2940" s="16"/>
      <c r="G2940" s="17"/>
      <c r="J2940" s="10"/>
    </row>
    <row r="2941">
      <c r="B2941" s="11"/>
      <c r="C2941" s="12"/>
      <c r="D2941" s="12"/>
      <c r="E2941" s="13"/>
      <c r="G2941" s="17"/>
      <c r="J2941" s="10"/>
    </row>
    <row r="2942">
      <c r="B2942" s="14"/>
      <c r="C2942" s="15"/>
      <c r="D2942" s="15"/>
      <c r="E2942" s="16"/>
      <c r="G2942" s="17"/>
      <c r="J2942" s="10"/>
    </row>
    <row r="2943">
      <c r="B2943" s="11"/>
      <c r="C2943" s="12"/>
      <c r="D2943" s="12"/>
      <c r="E2943" s="13"/>
      <c r="G2943" s="17"/>
      <c r="J2943" s="10"/>
    </row>
    <row r="2944">
      <c r="B2944" s="14"/>
      <c r="C2944" s="15"/>
      <c r="D2944" s="15"/>
      <c r="E2944" s="16"/>
      <c r="G2944" s="17"/>
      <c r="J2944" s="10"/>
    </row>
    <row r="2945">
      <c r="B2945" s="11"/>
      <c r="C2945" s="12"/>
      <c r="D2945" s="12"/>
      <c r="E2945" s="13"/>
      <c r="G2945" s="17"/>
      <c r="J2945" s="10"/>
    </row>
    <row r="2946">
      <c r="B2946" s="14"/>
      <c r="C2946" s="15"/>
      <c r="D2946" s="15"/>
      <c r="E2946" s="16"/>
      <c r="G2946" s="17"/>
      <c r="J2946" s="10"/>
    </row>
    <row r="2947">
      <c r="B2947" s="11"/>
      <c r="C2947" s="12"/>
      <c r="D2947" s="12"/>
      <c r="E2947" s="13"/>
      <c r="G2947" s="17"/>
      <c r="J2947" s="10"/>
    </row>
    <row r="2948">
      <c r="B2948" s="14"/>
      <c r="C2948" s="15"/>
      <c r="D2948" s="15"/>
      <c r="E2948" s="16"/>
      <c r="G2948" s="17"/>
      <c r="J2948" s="10"/>
    </row>
    <row r="2949">
      <c r="B2949" s="11"/>
      <c r="C2949" s="12"/>
      <c r="D2949" s="12"/>
      <c r="E2949" s="13"/>
      <c r="G2949" s="17"/>
      <c r="J2949" s="10"/>
    </row>
    <row r="2950">
      <c r="B2950" s="14"/>
      <c r="C2950" s="15"/>
      <c r="D2950" s="15"/>
      <c r="E2950" s="16"/>
      <c r="G2950" s="17"/>
      <c r="J2950" s="10"/>
    </row>
    <row r="2951">
      <c r="B2951" s="11"/>
      <c r="C2951" s="12"/>
      <c r="D2951" s="12"/>
      <c r="E2951" s="13"/>
      <c r="G2951" s="17"/>
      <c r="J2951" s="10"/>
    </row>
    <row r="2952">
      <c r="B2952" s="14"/>
      <c r="C2952" s="15"/>
      <c r="D2952" s="15"/>
      <c r="E2952" s="16"/>
      <c r="G2952" s="17"/>
      <c r="J2952" s="10"/>
    </row>
    <row r="2953">
      <c r="B2953" s="11"/>
      <c r="C2953" s="12"/>
      <c r="D2953" s="12"/>
      <c r="E2953" s="13"/>
      <c r="G2953" s="17"/>
      <c r="J2953" s="10"/>
    </row>
    <row r="2954">
      <c r="B2954" s="14"/>
      <c r="C2954" s="15"/>
      <c r="D2954" s="15"/>
      <c r="E2954" s="16"/>
      <c r="G2954" s="17"/>
      <c r="J2954" s="10"/>
    </row>
    <row r="2955">
      <c r="B2955" s="11"/>
      <c r="C2955" s="12"/>
      <c r="D2955" s="12"/>
      <c r="E2955" s="13"/>
      <c r="G2955" s="17"/>
      <c r="J2955" s="10"/>
    </row>
    <row r="2956">
      <c r="B2956" s="14"/>
      <c r="C2956" s="15"/>
      <c r="D2956" s="15"/>
      <c r="E2956" s="16"/>
      <c r="G2956" s="17"/>
      <c r="J2956" s="10"/>
    </row>
    <row r="2957">
      <c r="B2957" s="11"/>
      <c r="C2957" s="12"/>
      <c r="D2957" s="12"/>
      <c r="E2957" s="13"/>
      <c r="G2957" s="17"/>
      <c r="J2957" s="10"/>
    </row>
    <row r="2958">
      <c r="B2958" s="14"/>
      <c r="C2958" s="15"/>
      <c r="D2958" s="15"/>
      <c r="E2958" s="16"/>
      <c r="G2958" s="17"/>
      <c r="J2958" s="10"/>
    </row>
    <row r="2959">
      <c r="B2959" s="11"/>
      <c r="C2959" s="12"/>
      <c r="D2959" s="12"/>
      <c r="E2959" s="13"/>
      <c r="G2959" s="17"/>
      <c r="J2959" s="10"/>
    </row>
    <row r="2960">
      <c r="B2960" s="14"/>
      <c r="C2960" s="15"/>
      <c r="D2960" s="15"/>
      <c r="E2960" s="16"/>
      <c r="G2960" s="17"/>
      <c r="J2960" s="10"/>
    </row>
    <row r="2961">
      <c r="B2961" s="11"/>
      <c r="C2961" s="12"/>
      <c r="D2961" s="12"/>
      <c r="E2961" s="13"/>
      <c r="G2961" s="17"/>
      <c r="J2961" s="10"/>
    </row>
    <row r="2962">
      <c r="B2962" s="14"/>
      <c r="C2962" s="15"/>
      <c r="D2962" s="15"/>
      <c r="E2962" s="16"/>
      <c r="G2962" s="17"/>
      <c r="J2962" s="10"/>
    </row>
    <row r="2963">
      <c r="B2963" s="11"/>
      <c r="C2963" s="12"/>
      <c r="D2963" s="12"/>
      <c r="E2963" s="13"/>
      <c r="G2963" s="17"/>
      <c r="J2963" s="10"/>
    </row>
    <row r="2964">
      <c r="B2964" s="14"/>
      <c r="C2964" s="15"/>
      <c r="D2964" s="15"/>
      <c r="E2964" s="16"/>
      <c r="G2964" s="17"/>
      <c r="J2964" s="10"/>
    </row>
    <row r="2965">
      <c r="B2965" s="11"/>
      <c r="C2965" s="12"/>
      <c r="D2965" s="12"/>
      <c r="E2965" s="13"/>
      <c r="G2965" s="17"/>
      <c r="J2965" s="10"/>
    </row>
    <row r="2966">
      <c r="B2966" s="14"/>
      <c r="C2966" s="15"/>
      <c r="D2966" s="15"/>
      <c r="E2966" s="16"/>
      <c r="G2966" s="17"/>
      <c r="J2966" s="10"/>
    </row>
    <row r="2967">
      <c r="B2967" s="11"/>
      <c r="C2967" s="12"/>
      <c r="D2967" s="12"/>
      <c r="E2967" s="13"/>
      <c r="G2967" s="17"/>
      <c r="J2967" s="10"/>
    </row>
    <row r="2968">
      <c r="B2968" s="14"/>
      <c r="C2968" s="15"/>
      <c r="D2968" s="15"/>
      <c r="E2968" s="16"/>
      <c r="G2968" s="17"/>
      <c r="J2968" s="10"/>
    </row>
    <row r="2969">
      <c r="B2969" s="11"/>
      <c r="C2969" s="12"/>
      <c r="D2969" s="12"/>
      <c r="E2969" s="13"/>
      <c r="G2969" s="17"/>
      <c r="J2969" s="10"/>
    </row>
    <row r="2970">
      <c r="B2970" s="14"/>
      <c r="C2970" s="15"/>
      <c r="D2970" s="15"/>
      <c r="E2970" s="16"/>
      <c r="G2970" s="17"/>
      <c r="J2970" s="10"/>
    </row>
    <row r="2971">
      <c r="B2971" s="11"/>
      <c r="C2971" s="12"/>
      <c r="D2971" s="12"/>
      <c r="E2971" s="13"/>
      <c r="G2971" s="17"/>
      <c r="J2971" s="10"/>
    </row>
    <row r="2972">
      <c r="B2972" s="14"/>
      <c r="C2972" s="15"/>
      <c r="D2972" s="15"/>
      <c r="E2972" s="16"/>
      <c r="G2972" s="17"/>
      <c r="J2972" s="10"/>
    </row>
    <row r="2973">
      <c r="B2973" s="11"/>
      <c r="C2973" s="12"/>
      <c r="D2973" s="12"/>
      <c r="E2973" s="13"/>
      <c r="G2973" s="17"/>
      <c r="J2973" s="10"/>
    </row>
    <row r="2974">
      <c r="B2974" s="14"/>
      <c r="C2974" s="15"/>
      <c r="D2974" s="15"/>
      <c r="E2974" s="16"/>
      <c r="G2974" s="17"/>
      <c r="J2974" s="10"/>
    </row>
    <row r="2975">
      <c r="B2975" s="11"/>
      <c r="C2975" s="12"/>
      <c r="D2975" s="12"/>
      <c r="E2975" s="13"/>
      <c r="G2975" s="17"/>
      <c r="J2975" s="10"/>
    </row>
    <row r="2976">
      <c r="B2976" s="14"/>
      <c r="C2976" s="15"/>
      <c r="D2976" s="15"/>
      <c r="E2976" s="16"/>
      <c r="G2976" s="17"/>
      <c r="J2976" s="10"/>
    </row>
    <row r="2977">
      <c r="B2977" s="11"/>
      <c r="C2977" s="12"/>
      <c r="D2977" s="12"/>
      <c r="E2977" s="13"/>
      <c r="G2977" s="17"/>
      <c r="J2977" s="10"/>
    </row>
    <row r="2978">
      <c r="B2978" s="14"/>
      <c r="C2978" s="15"/>
      <c r="D2978" s="15"/>
      <c r="E2978" s="16"/>
      <c r="G2978" s="17"/>
      <c r="J2978" s="10"/>
    </row>
    <row r="2979">
      <c r="B2979" s="11"/>
      <c r="C2979" s="12"/>
      <c r="D2979" s="12"/>
      <c r="E2979" s="13"/>
      <c r="G2979" s="17"/>
      <c r="J2979" s="10"/>
    </row>
    <row r="2980">
      <c r="B2980" s="14"/>
      <c r="C2980" s="15"/>
      <c r="D2980" s="15"/>
      <c r="E2980" s="16"/>
      <c r="G2980" s="17"/>
      <c r="J2980" s="10"/>
    </row>
    <row r="2981">
      <c r="B2981" s="11"/>
      <c r="C2981" s="12"/>
      <c r="D2981" s="12"/>
      <c r="E2981" s="13"/>
      <c r="G2981" s="17"/>
      <c r="J2981" s="10"/>
    </row>
    <row r="2982">
      <c r="B2982" s="14"/>
      <c r="C2982" s="15"/>
      <c r="D2982" s="15"/>
      <c r="E2982" s="16"/>
      <c r="G2982" s="17"/>
      <c r="J2982" s="10"/>
    </row>
    <row r="2983">
      <c r="B2983" s="11"/>
      <c r="C2983" s="12"/>
      <c r="D2983" s="12"/>
      <c r="E2983" s="13"/>
      <c r="G2983" s="17"/>
      <c r="J2983" s="10"/>
    </row>
    <row r="2984">
      <c r="B2984" s="14"/>
      <c r="C2984" s="15"/>
      <c r="D2984" s="15"/>
      <c r="E2984" s="16"/>
      <c r="G2984" s="17"/>
      <c r="J2984" s="10"/>
    </row>
    <row r="2985">
      <c r="B2985" s="11"/>
      <c r="C2985" s="12"/>
      <c r="D2985" s="12"/>
      <c r="E2985" s="13"/>
      <c r="G2985" s="17"/>
      <c r="J2985" s="10"/>
    </row>
    <row r="2986">
      <c r="B2986" s="14"/>
      <c r="C2986" s="15"/>
      <c r="D2986" s="15"/>
      <c r="E2986" s="16"/>
      <c r="G2986" s="17"/>
      <c r="J2986" s="10"/>
    </row>
    <row r="2987">
      <c r="B2987" s="11"/>
      <c r="C2987" s="12"/>
      <c r="D2987" s="12"/>
      <c r="E2987" s="13"/>
      <c r="G2987" s="17"/>
      <c r="J2987" s="10"/>
    </row>
    <row r="2988">
      <c r="B2988" s="14"/>
      <c r="C2988" s="15"/>
      <c r="D2988" s="15"/>
      <c r="E2988" s="16"/>
      <c r="G2988" s="17"/>
      <c r="J2988" s="10"/>
    </row>
    <row r="2989">
      <c r="B2989" s="11"/>
      <c r="C2989" s="12"/>
      <c r="D2989" s="12"/>
      <c r="E2989" s="13"/>
      <c r="G2989" s="17"/>
      <c r="J2989" s="10"/>
    </row>
    <row r="2990">
      <c r="B2990" s="14"/>
      <c r="C2990" s="15"/>
      <c r="D2990" s="15"/>
      <c r="E2990" s="16"/>
      <c r="G2990" s="17"/>
      <c r="J2990" s="10"/>
    </row>
    <row r="2991">
      <c r="B2991" s="11"/>
      <c r="C2991" s="12"/>
      <c r="D2991" s="12"/>
      <c r="E2991" s="13"/>
      <c r="G2991" s="17"/>
      <c r="J2991" s="10"/>
    </row>
    <row r="2992">
      <c r="B2992" s="14"/>
      <c r="C2992" s="15"/>
      <c r="D2992" s="15"/>
      <c r="E2992" s="16"/>
      <c r="G2992" s="17"/>
      <c r="J2992" s="10"/>
    </row>
    <row r="2993">
      <c r="B2993" s="11"/>
      <c r="C2993" s="12"/>
      <c r="D2993" s="12"/>
      <c r="E2993" s="13"/>
      <c r="G2993" s="17"/>
      <c r="J2993" s="10"/>
    </row>
    <row r="2994">
      <c r="B2994" s="14"/>
      <c r="C2994" s="15"/>
      <c r="D2994" s="15"/>
      <c r="E2994" s="16"/>
      <c r="G2994" s="17"/>
      <c r="J2994" s="10"/>
    </row>
    <row r="2995">
      <c r="B2995" s="11"/>
      <c r="C2995" s="12"/>
      <c r="D2995" s="12"/>
      <c r="E2995" s="13"/>
      <c r="G2995" s="17"/>
      <c r="J2995" s="10"/>
    </row>
    <row r="2996">
      <c r="B2996" s="14"/>
      <c r="C2996" s="15"/>
      <c r="D2996" s="15"/>
      <c r="E2996" s="16"/>
      <c r="G2996" s="17"/>
      <c r="J2996" s="10"/>
    </row>
    <row r="2997">
      <c r="B2997" s="11"/>
      <c r="C2997" s="12"/>
      <c r="D2997" s="12"/>
      <c r="E2997" s="13"/>
      <c r="G2997" s="17"/>
      <c r="J2997" s="10"/>
    </row>
    <row r="2998">
      <c r="B2998" s="14"/>
      <c r="C2998" s="15"/>
      <c r="D2998" s="15"/>
      <c r="E2998" s="16"/>
      <c r="G2998" s="17"/>
      <c r="J2998" s="10"/>
    </row>
    <row r="2999">
      <c r="B2999" s="11"/>
      <c r="C2999" s="12"/>
      <c r="D2999" s="12"/>
      <c r="E2999" s="13"/>
      <c r="G2999" s="17"/>
      <c r="J2999" s="10"/>
    </row>
    <row r="3000">
      <c r="B3000" s="14"/>
      <c r="C3000" s="15"/>
      <c r="D3000" s="15"/>
      <c r="E3000" s="16"/>
      <c r="G3000" s="17"/>
      <c r="J3000" s="10"/>
    </row>
  </sheetData>
  <autoFilter ref="$B$4:$F$3000"/>
  <dataValidations>
    <dataValidation type="list" allowBlank="1" sqref="C9 C41">
      <formula1>"Bahan Baku,Gaji,Operasional,Pemasaran,Lain-lain,Prive"</formula1>
    </dataValidation>
    <dataValidation type="list" allowBlank="1" sqref="G4">
      <formula1>'Log Pengeluaran'!$C$5:$C3000</formula1>
    </dataValidation>
    <dataValidation type="list" allowBlank="1" sqref="C5:C8 C10:C40 C42:C3000">
      <formula1>"Bahan Baku,Gaji,Operasional,Pemasaran,Lain-lain,prive,sub con"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2.63" defaultRowHeight="15.75"/>
  <cols>
    <col customWidth="1" min="1" max="1" width="16.13"/>
    <col customWidth="1" min="2" max="2" width="8.75"/>
    <col customWidth="1" min="3" max="33" width="9.13"/>
  </cols>
  <sheetData>
    <row r="1">
      <c r="A1" s="7" t="s">
        <v>172</v>
      </c>
      <c r="C1" s="10">
        <v>9455000.0</v>
      </c>
      <c r="D1" s="10">
        <v>0.0</v>
      </c>
      <c r="E1" s="10">
        <v>1023500.0</v>
      </c>
      <c r="F1" s="10">
        <v>2426000.0</v>
      </c>
      <c r="G1" s="10">
        <v>2867500.0</v>
      </c>
      <c r="H1" s="10">
        <v>1237500.0</v>
      </c>
      <c r="I1" s="10">
        <v>909000.0</v>
      </c>
      <c r="J1" s="10">
        <v>1389000.0</v>
      </c>
      <c r="K1" s="10">
        <v>367000.0</v>
      </c>
      <c r="L1" s="10">
        <v>1289000.0</v>
      </c>
      <c r="M1" s="10">
        <v>2079500.0</v>
      </c>
      <c r="N1" s="10">
        <v>993000.0</v>
      </c>
      <c r="O1" s="10">
        <v>826000.0</v>
      </c>
      <c r="P1" s="10">
        <v>1076000.0</v>
      </c>
      <c r="Q1" s="10">
        <v>691000.0</v>
      </c>
      <c r="R1" s="10">
        <v>1104000.0</v>
      </c>
      <c r="S1" s="10">
        <v>1557000.0</v>
      </c>
      <c r="T1" s="10">
        <v>2202500.0</v>
      </c>
      <c r="U1" s="10">
        <v>1232500.0</v>
      </c>
      <c r="V1" s="10">
        <v>1457500.0</v>
      </c>
      <c r="W1" s="10">
        <v>984500.0</v>
      </c>
      <c r="X1" s="10">
        <f t="array" ref="X1">SUM(IFERROR($B7:$B1002 * X7:X1002, 0))</f>
        <v>1052000</v>
      </c>
      <c r="Y1" s="10">
        <f t="array" ref="Y1">SUM(IFERROR($B7:$B1002 * Y7:Y1002, 0))</f>
        <v>775000</v>
      </c>
      <c r="Z1" s="10">
        <f t="array" ref="Z1">SUM(IFERROR($B7:$B1002 * Z7:Z1002, 0))</f>
        <v>1001500</v>
      </c>
      <c r="AA1" s="10">
        <f t="array" ref="AA1">SUM(IFERROR($B7:$B1002 * AA7:AA1002, 0))</f>
        <v>1140500</v>
      </c>
      <c r="AB1" s="10">
        <f t="array" ref="AB1">SUM(IFERROR($B7:$B1002 * AB7:AB1002, 0))</f>
        <v>1864000</v>
      </c>
      <c r="AC1" s="10">
        <f t="array" ref="AC1">SUM(IFERROR($B7:$B1002 * AC7:AC1002, 0))</f>
        <v>2828000</v>
      </c>
      <c r="AD1" s="10">
        <f t="array" ref="AD1">SUM(IFERROR($B7:$B1002 * AD7:AD1002, 0))</f>
        <v>1735500</v>
      </c>
      <c r="AE1" s="10">
        <f t="array" ref="AE1">SUM(IFERROR($B7:$B1002 * AE7:AE1002, 0))</f>
        <v>1039000</v>
      </c>
      <c r="AF1" s="10">
        <f t="array" ref="AF1">SUM(IFERROR($B7:$B1002 * AF7:AF1002, 0))</f>
        <v>0</v>
      </c>
      <c r="AG1" s="10">
        <f t="array" ref="AG1">SUM(IFERROR($B7:$B1002 * AG7:AG1002, 0))</f>
        <v>0</v>
      </c>
    </row>
    <row r="2">
      <c r="A2" s="7" t="s">
        <v>199</v>
      </c>
      <c r="C2" s="10">
        <v>3165595.0</v>
      </c>
      <c r="D2" s="10">
        <v>0.0</v>
      </c>
      <c r="E2" s="10">
        <v>256481.0</v>
      </c>
      <c r="F2" s="10">
        <v>848281.0</v>
      </c>
      <c r="G2" s="10">
        <v>938829.0</v>
      </c>
      <c r="H2" s="10">
        <v>382947.0</v>
      </c>
      <c r="I2" s="10">
        <v>298501.0</v>
      </c>
      <c r="J2" s="10">
        <v>424826.0</v>
      </c>
      <c r="K2" s="10">
        <v>112297.0</v>
      </c>
      <c r="L2" s="10">
        <v>471553.0</v>
      </c>
      <c r="M2" s="10">
        <v>617263.0</v>
      </c>
      <c r="N2" s="10">
        <v>404221.0</v>
      </c>
      <c r="O2" s="10">
        <v>200176.0</v>
      </c>
      <c r="P2" s="10">
        <v>344849.0</v>
      </c>
      <c r="Q2" s="10">
        <v>173735.0</v>
      </c>
      <c r="R2" s="10">
        <v>367764.0</v>
      </c>
      <c r="S2" s="10">
        <v>410112.0</v>
      </c>
      <c r="T2" s="10">
        <v>665516.0</v>
      </c>
      <c r="U2" s="10">
        <v>430645.0</v>
      </c>
      <c r="V2" s="10">
        <v>507915.0</v>
      </c>
      <c r="W2" s="10">
        <v>366254.0</v>
      </c>
      <c r="X2" s="10">
        <f t="array" ref="X2">SUM(IFERROR(X7:X1002 * VLOOKUP($A7:$A1002, 'Master Menu'!$B$5:$D1002, 3, FALSE), 0))</f>
        <v>313440</v>
      </c>
      <c r="Y2" s="10">
        <f t="array" ref="Y2">SUM(IFERROR(Y7:Y1002 * VLOOKUP($A7:$A1002, 'Master Menu'!$B$5:$D1002, 3, FALSE), 0))</f>
        <v>216969</v>
      </c>
      <c r="Z2" s="10">
        <f t="array" ref="Z2">SUM(IFERROR(Z7:Z1002 * VLOOKUP($A7:$A1002, 'Master Menu'!$B$5:$D1002, 3, FALSE), 0))</f>
        <v>325299</v>
      </c>
      <c r="AA2" s="10">
        <f t="array" ref="AA2">SUM(IFERROR(AA7:AA1002 * VLOOKUP($A7:$A1002, 'Master Menu'!$B$5:$D1002, 3, FALSE), 0))</f>
        <v>360417</v>
      </c>
      <c r="AB2" s="10">
        <f t="array" ref="AB2">SUM(IFERROR(AB7:AB1002 * VLOOKUP($A7:$A1002, 'Master Menu'!$B$5:$D1002, 3, FALSE), 0))</f>
        <v>625343</v>
      </c>
      <c r="AC2" s="10">
        <f t="array" ref="AC2">SUM(IFERROR(AC7:AC1002 * VLOOKUP($A7:$A1002, 'Master Menu'!$B$5:$D1002, 3, FALSE), 0))</f>
        <v>927211</v>
      </c>
      <c r="AD2" s="10">
        <f t="array" ref="AD2">SUM(IFERROR(AD7:AD1002 * VLOOKUP($A7:$A1002, 'Master Menu'!$B$5:$D1002, 3, FALSE), 0))</f>
        <v>665052</v>
      </c>
      <c r="AE2" s="10">
        <f t="array" ref="AE2">SUM(IFERROR(AE7:AE1002 * VLOOKUP($A7:$A1002, 'Master Menu'!$B$5:$D1002, 3, FALSE), 0))</f>
        <v>301764</v>
      </c>
      <c r="AF2" s="10">
        <f t="array" ref="AF2">SUM(IFERROR(AF7:AF1002 * VLOOKUP($A7:$A1002, 'Master Menu'!$B$5:$D1002, 3, FALSE), 0))</f>
        <v>0</v>
      </c>
      <c r="AG2" s="10">
        <f t="array" ref="AG2">SUM(IFERROR(AG7:AG1002 * VLOOKUP($A7:$A1002, 'Master Menu'!$B$5:$D1002, 3, FALSE), 0))</f>
        <v>0</v>
      </c>
    </row>
    <row r="3">
      <c r="A3" s="192" t="s">
        <v>215</v>
      </c>
      <c r="C3" s="10">
        <f t="array" ref="C3:AG3">IF(C5:AG5&lt;&gt;"", C1:AG1 - C2:AG2, "")</f>
        <v>6289405</v>
      </c>
      <c r="D3" s="10">
        <v>0.0</v>
      </c>
      <c r="E3" s="10">
        <v>767019.0</v>
      </c>
      <c r="F3" s="10">
        <v>1577719.0</v>
      </c>
      <c r="G3" s="10">
        <v>1928671.0</v>
      </c>
      <c r="H3" s="10">
        <v>854553.0</v>
      </c>
      <c r="I3" s="10">
        <v>610499.0</v>
      </c>
      <c r="J3" s="10">
        <v>964174.0</v>
      </c>
      <c r="K3" s="10">
        <v>254703.0</v>
      </c>
      <c r="L3" s="10">
        <v>817447.0</v>
      </c>
      <c r="M3" s="10">
        <v>1462237.0</v>
      </c>
      <c r="N3" s="10">
        <v>588779.0</v>
      </c>
      <c r="O3" s="10">
        <v>625824.0</v>
      </c>
      <c r="P3" s="10">
        <v>731151.0</v>
      </c>
      <c r="Q3" s="10">
        <v>517265.0</v>
      </c>
      <c r="R3" s="10">
        <v>736236.0</v>
      </c>
      <c r="S3" s="10">
        <v>1146888.0</v>
      </c>
      <c r="T3" s="10">
        <v>1536984.0</v>
      </c>
      <c r="U3" s="10">
        <v>801855.0</v>
      </c>
      <c r="V3" s="10">
        <v>949585.0</v>
      </c>
      <c r="W3" s="10">
        <v>618246.0</v>
      </c>
      <c r="X3" s="10">
        <v>738560.0</v>
      </c>
      <c r="Y3" s="10">
        <v>558031.0</v>
      </c>
      <c r="Z3" s="10">
        <v>676201.0</v>
      </c>
      <c r="AA3" s="10">
        <v>780083.0</v>
      </c>
      <c r="AB3" s="10">
        <v>1238657.0</v>
      </c>
      <c r="AC3" s="10">
        <v>1900789.0</v>
      </c>
      <c r="AD3" s="10">
        <v>1070448.0</v>
      </c>
      <c r="AE3" s="10">
        <v>737236.0</v>
      </c>
      <c r="AF3" s="10">
        <v>0.0</v>
      </c>
      <c r="AG3" s="10">
        <v>0.0</v>
      </c>
    </row>
    <row r="4">
      <c r="C4" s="7" t="s">
        <v>219</v>
      </c>
    </row>
    <row r="5">
      <c r="A5" s="7" t="s">
        <v>9</v>
      </c>
      <c r="B5" s="7" t="s">
        <v>10</v>
      </c>
      <c r="C5" s="19">
        <v>46246.0</v>
      </c>
      <c r="D5" s="17">
        <f t="shared" ref="D5:AG5" si="1">C5+1</f>
        <v>46247</v>
      </c>
      <c r="E5" s="17">
        <f t="shared" si="1"/>
        <v>46248</v>
      </c>
      <c r="F5" s="17">
        <f t="shared" si="1"/>
        <v>46249</v>
      </c>
      <c r="G5" s="17">
        <f t="shared" si="1"/>
        <v>46250</v>
      </c>
      <c r="H5" s="17">
        <f t="shared" si="1"/>
        <v>46251</v>
      </c>
      <c r="I5" s="17">
        <f t="shared" si="1"/>
        <v>46252</v>
      </c>
      <c r="J5" s="17">
        <f t="shared" si="1"/>
        <v>46253</v>
      </c>
      <c r="K5" s="17">
        <f t="shared" si="1"/>
        <v>46254</v>
      </c>
      <c r="L5" s="17">
        <f t="shared" si="1"/>
        <v>46255</v>
      </c>
      <c r="M5" s="17">
        <f t="shared" si="1"/>
        <v>46256</v>
      </c>
      <c r="N5" s="17">
        <f t="shared" si="1"/>
        <v>46257</v>
      </c>
      <c r="O5" s="17">
        <f t="shared" si="1"/>
        <v>46258</v>
      </c>
      <c r="P5" s="17">
        <f t="shared" si="1"/>
        <v>46259</v>
      </c>
      <c r="Q5" s="17">
        <f t="shared" si="1"/>
        <v>46260</v>
      </c>
      <c r="R5" s="17">
        <f t="shared" si="1"/>
        <v>46261</v>
      </c>
      <c r="S5" s="17">
        <f t="shared" si="1"/>
        <v>46262</v>
      </c>
      <c r="T5" s="17">
        <f t="shared" si="1"/>
        <v>46263</v>
      </c>
      <c r="U5" s="17">
        <f t="shared" si="1"/>
        <v>46264</v>
      </c>
      <c r="V5" s="17">
        <f t="shared" si="1"/>
        <v>46265</v>
      </c>
      <c r="W5" s="17">
        <f t="shared" si="1"/>
        <v>46266</v>
      </c>
      <c r="X5" s="17">
        <f t="shared" si="1"/>
        <v>46267</v>
      </c>
      <c r="Y5" s="17">
        <f t="shared" si="1"/>
        <v>46268</v>
      </c>
      <c r="Z5" s="17">
        <f t="shared" si="1"/>
        <v>46269</v>
      </c>
      <c r="AA5" s="17">
        <f t="shared" si="1"/>
        <v>46270</v>
      </c>
      <c r="AB5" s="17">
        <f t="shared" si="1"/>
        <v>46271</v>
      </c>
      <c r="AC5" s="17">
        <f t="shared" si="1"/>
        <v>46272</v>
      </c>
      <c r="AD5" s="17">
        <f t="shared" si="1"/>
        <v>46273</v>
      </c>
      <c r="AE5" s="17">
        <f t="shared" si="1"/>
        <v>46274</v>
      </c>
      <c r="AF5" s="17">
        <f t="shared" si="1"/>
        <v>46275</v>
      </c>
      <c r="AG5" s="17">
        <f t="shared" si="1"/>
        <v>46276</v>
      </c>
    </row>
    <row r="6">
      <c r="A6" s="18" t="str">
        <f>'Master Menu'!B4</f>
        <v>Nama Menu</v>
      </c>
      <c r="B6" s="18" t="str">
        <f>'Master Menu'!C4</f>
        <v>Harga Jual</v>
      </c>
      <c r="C6" s="219"/>
      <c r="D6" s="219"/>
      <c r="E6" s="220"/>
      <c r="F6" s="220"/>
      <c r="G6" s="220"/>
      <c r="H6" s="220"/>
      <c r="I6" s="220"/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0"/>
      <c r="Z6" s="220"/>
      <c r="AA6" s="220"/>
      <c r="AB6" s="220"/>
      <c r="AC6" s="220"/>
      <c r="AD6" s="220"/>
      <c r="AE6" s="220"/>
      <c r="AF6" s="220"/>
      <c r="AG6" s="220"/>
    </row>
    <row r="7">
      <c r="A7" s="18" t="str">
        <f>IFERROR(__xludf.DUMMYFUNCTION("FILTER('Master Menu'!B5:C1002, 'Master Menu'!B5:B1002&lt;&gt;"""")"),"Sexy Lady")</f>
        <v>Sexy Lady</v>
      </c>
      <c r="B7" s="223">
        <f>IFERROR(__xludf.DUMMYFUNCTION("""COMPUTED_VALUE"""),25000.0)</f>
        <v>25000</v>
      </c>
      <c r="C7" s="224">
        <v>71.0</v>
      </c>
      <c r="D7" s="219">
        <v>0.0</v>
      </c>
      <c r="E7" s="220">
        <v>4.0</v>
      </c>
      <c r="F7" s="220">
        <v>6.0</v>
      </c>
      <c r="G7" s="220">
        <v>4.0</v>
      </c>
      <c r="H7" s="220">
        <v>7.0</v>
      </c>
      <c r="I7" s="220">
        <v>4.0</v>
      </c>
      <c r="J7" s="220">
        <v>2.0</v>
      </c>
      <c r="K7" s="220">
        <v>0.0</v>
      </c>
      <c r="L7" s="220">
        <v>4.0</v>
      </c>
      <c r="M7" s="220">
        <v>8.0</v>
      </c>
      <c r="N7" s="220">
        <v>1.0</v>
      </c>
      <c r="O7" s="220">
        <v>2.0</v>
      </c>
      <c r="P7" s="220">
        <v>0.0</v>
      </c>
      <c r="Q7" s="220">
        <v>1.0</v>
      </c>
      <c r="R7" s="220">
        <v>2.0</v>
      </c>
      <c r="S7" s="220">
        <v>1.0</v>
      </c>
      <c r="T7" s="220">
        <v>18.0</v>
      </c>
      <c r="U7" s="220">
        <v>3.0</v>
      </c>
      <c r="V7" s="220">
        <v>0.0</v>
      </c>
      <c r="W7" s="220">
        <v>1.0</v>
      </c>
      <c r="X7" s="220">
        <f>SUMIFS('Drop Data Kasir'!$B:$B, 'Drop Data Kasir'!$A:$A, $A7, 'Drop Data Kasir'!$C:$C, X$5)</f>
        <v>7</v>
      </c>
      <c r="Y7" s="220">
        <f>SUMIFS('Drop Data Kasir'!$B:$B, 'Drop Data Kasir'!$A:$A, $A7, 'Drop Data Kasir'!$C:$C, Y$5)</f>
        <v>4</v>
      </c>
      <c r="Z7" s="220">
        <f>SUMIFS('Drop Data Kasir'!$B:$B, 'Drop Data Kasir'!$A:$A, $A7, 'Drop Data Kasir'!$C:$C, Z$5)</f>
        <v>10</v>
      </c>
      <c r="AA7" s="220">
        <f>SUMIFS('Drop Data Kasir'!$B:$B, 'Drop Data Kasir'!$A:$A, $A7, 'Drop Data Kasir'!$C:$C, AA$5)</f>
        <v>0</v>
      </c>
      <c r="AB7" s="220">
        <f>SUMIFS('Drop Data Kasir'!$B:$B, 'Drop Data Kasir'!$A:$A, $A7, 'Drop Data Kasir'!$C:$C, AB$5)</f>
        <v>6</v>
      </c>
      <c r="AC7" s="220">
        <f>SUMIFS('Drop Data Kasir'!$B:$B, 'Drop Data Kasir'!$A:$A, $A7, 'Drop Data Kasir'!$C:$C, AC$5)</f>
        <v>12</v>
      </c>
      <c r="AD7" s="220">
        <f>SUMIFS('Drop Data Kasir'!$B:$B, 'Drop Data Kasir'!$A:$A, $A7, 'Drop Data Kasir'!$C:$C, AD$5)</f>
        <v>2</v>
      </c>
      <c r="AE7" s="220">
        <f>SUMIFS('Drop Data Kasir'!$B:$B, 'Drop Data Kasir'!$A:$A, $A7, 'Drop Data Kasir'!$C:$C, AE$5)</f>
        <v>3</v>
      </c>
      <c r="AF7" s="220">
        <f>SUMIFS('Drop Data Kasir'!$B:$B, 'Drop Data Kasir'!$A:$A, $A7, 'Drop Data Kasir'!$C:$C, AF$5)</f>
        <v>0</v>
      </c>
      <c r="AG7" s="220">
        <f>SUMIFS('Drop Data Kasir'!$B:$B, 'Drop Data Kasir'!$A:$A, $A7, 'Drop Data Kasir'!$C:$C, AG$5)</f>
        <v>0</v>
      </c>
    </row>
    <row r="8">
      <c r="A8" s="18" t="str">
        <f>IFERROR(__xludf.DUMMYFUNCTION("""COMPUTED_VALUE"""),"Party Plate")</f>
        <v>Party Plate</v>
      </c>
      <c r="B8" s="223">
        <f>IFERROR(__xludf.DUMMYFUNCTION("""COMPUTED_VALUE"""),30000.0)</f>
        <v>30000</v>
      </c>
      <c r="C8" s="224">
        <v>35.0</v>
      </c>
      <c r="D8" s="219">
        <v>0.0</v>
      </c>
      <c r="E8" s="220">
        <v>0.0</v>
      </c>
      <c r="F8" s="220">
        <v>12.0</v>
      </c>
      <c r="G8" s="220">
        <v>8.0</v>
      </c>
      <c r="H8" s="220">
        <v>2.0</v>
      </c>
      <c r="I8" s="220">
        <v>5.0</v>
      </c>
      <c r="J8" s="220">
        <v>2.0</v>
      </c>
      <c r="K8" s="220">
        <v>0.0</v>
      </c>
      <c r="L8" s="220">
        <v>6.0</v>
      </c>
      <c r="M8" s="220">
        <v>5.0</v>
      </c>
      <c r="N8" s="220">
        <v>3.0</v>
      </c>
      <c r="O8" s="220">
        <v>1.0</v>
      </c>
      <c r="P8" s="220">
        <v>2.0</v>
      </c>
      <c r="Q8" s="220">
        <v>1.0</v>
      </c>
      <c r="R8" s="220">
        <v>4.0</v>
      </c>
      <c r="S8" s="220">
        <v>2.0</v>
      </c>
      <c r="T8" s="220">
        <v>4.0</v>
      </c>
      <c r="U8" s="220">
        <v>4.0</v>
      </c>
      <c r="V8" s="220">
        <v>4.0</v>
      </c>
      <c r="W8" s="220">
        <v>5.0</v>
      </c>
      <c r="X8" s="220">
        <f>SUMIFS('Drop Data Kasir'!$B:$B, 'Drop Data Kasir'!$A:$A, $A8, 'Drop Data Kasir'!$C:$C, X$5)</f>
        <v>1</v>
      </c>
      <c r="Y8" s="220">
        <f>SUMIFS('Drop Data Kasir'!$B:$B, 'Drop Data Kasir'!$A:$A, $A8, 'Drop Data Kasir'!$C:$C, Y$5)</f>
        <v>2</v>
      </c>
      <c r="Z8" s="220">
        <f>SUMIFS('Drop Data Kasir'!$B:$B, 'Drop Data Kasir'!$A:$A, $A8, 'Drop Data Kasir'!$C:$C, Z$5)</f>
        <v>1</v>
      </c>
      <c r="AA8" s="220">
        <f>SUMIFS('Drop Data Kasir'!$B:$B, 'Drop Data Kasir'!$A:$A, $A8, 'Drop Data Kasir'!$C:$C, AA$5)</f>
        <v>0</v>
      </c>
      <c r="AB8" s="220">
        <f>SUMIFS('Drop Data Kasir'!$B:$B, 'Drop Data Kasir'!$A:$A, $A8, 'Drop Data Kasir'!$C:$C, AB$5)</f>
        <v>3</v>
      </c>
      <c r="AC8" s="220">
        <f>SUMIFS('Drop Data Kasir'!$B:$B, 'Drop Data Kasir'!$A:$A, $A8, 'Drop Data Kasir'!$C:$C, AC$5)</f>
        <v>5</v>
      </c>
      <c r="AD8" s="220">
        <f>SUMIFS('Drop Data Kasir'!$B:$B, 'Drop Data Kasir'!$A:$A, $A8, 'Drop Data Kasir'!$C:$C, AD$5)</f>
        <v>3</v>
      </c>
      <c r="AE8" s="220">
        <f>SUMIFS('Drop Data Kasir'!$B:$B, 'Drop Data Kasir'!$A:$A, $A8, 'Drop Data Kasir'!$C:$C, AE$5)</f>
        <v>2</v>
      </c>
      <c r="AF8" s="220">
        <f>SUMIFS('Drop Data Kasir'!$B:$B, 'Drop Data Kasir'!$A:$A, $A8, 'Drop Data Kasir'!$C:$C, AF$5)</f>
        <v>0</v>
      </c>
      <c r="AG8" s="220">
        <f>SUMIFS('Drop Data Kasir'!$B:$B, 'Drop Data Kasir'!$A:$A, $A8, 'Drop Data Kasir'!$C:$C, AG$5)</f>
        <v>0</v>
      </c>
    </row>
    <row r="9">
      <c r="A9" s="18" t="str">
        <f>IFERROR(__xludf.DUMMYFUNCTION("""COMPUTED_VALUE"""),"Latte Ice")</f>
        <v>Latte Ice</v>
      </c>
      <c r="B9" s="223">
        <f>IFERROR(__xludf.DUMMYFUNCTION("""COMPUTED_VALUE"""),25000.0)</f>
        <v>25000</v>
      </c>
      <c r="C9" s="224">
        <v>32.0</v>
      </c>
      <c r="D9" s="219">
        <v>0.0</v>
      </c>
      <c r="E9" s="220">
        <v>2.0</v>
      </c>
      <c r="F9" s="220">
        <v>15.0</v>
      </c>
      <c r="G9" s="220">
        <v>11.0</v>
      </c>
      <c r="H9" s="220">
        <v>0.0</v>
      </c>
      <c r="I9" s="220">
        <v>2.0</v>
      </c>
      <c r="J9" s="220">
        <v>7.0</v>
      </c>
      <c r="K9" s="220">
        <v>6.0</v>
      </c>
      <c r="L9" s="220">
        <v>6.0</v>
      </c>
      <c r="M9" s="220">
        <v>0.0</v>
      </c>
      <c r="N9" s="220">
        <v>4.0</v>
      </c>
      <c r="O9" s="220">
        <v>1.0</v>
      </c>
      <c r="P9" s="220">
        <v>0.0</v>
      </c>
      <c r="Q9" s="220">
        <v>5.0</v>
      </c>
      <c r="R9" s="220">
        <v>3.0</v>
      </c>
      <c r="S9" s="220">
        <v>4.0</v>
      </c>
      <c r="T9" s="220">
        <v>8.0</v>
      </c>
      <c r="U9" s="220">
        <v>7.0</v>
      </c>
      <c r="V9" s="220">
        <v>4.0</v>
      </c>
      <c r="W9" s="220">
        <v>4.0</v>
      </c>
      <c r="X9" s="220">
        <f>SUMIFS('Drop Data Kasir'!$B:$B, 'Drop Data Kasir'!$A:$A, $A9, 'Drop Data Kasir'!$C:$C, X$5)</f>
        <v>2</v>
      </c>
      <c r="Y9" s="220">
        <f>SUMIFS('Drop Data Kasir'!$B:$B, 'Drop Data Kasir'!$A:$A, $A9, 'Drop Data Kasir'!$C:$C, Y$5)</f>
        <v>1</v>
      </c>
      <c r="Z9" s="220">
        <f>SUMIFS('Drop Data Kasir'!$B:$B, 'Drop Data Kasir'!$A:$A, $A9, 'Drop Data Kasir'!$C:$C, Z$5)</f>
        <v>2</v>
      </c>
      <c r="AA9" s="220">
        <f>SUMIFS('Drop Data Kasir'!$B:$B, 'Drop Data Kasir'!$A:$A, $A9, 'Drop Data Kasir'!$C:$C, AA$5)</f>
        <v>2</v>
      </c>
      <c r="AB9" s="220">
        <f>SUMIFS('Drop Data Kasir'!$B:$B, 'Drop Data Kasir'!$A:$A, $A9, 'Drop Data Kasir'!$C:$C, AB$5)</f>
        <v>2</v>
      </c>
      <c r="AC9" s="220">
        <f>SUMIFS('Drop Data Kasir'!$B:$B, 'Drop Data Kasir'!$A:$A, $A9, 'Drop Data Kasir'!$C:$C, AC$5)</f>
        <v>3</v>
      </c>
      <c r="AD9" s="220">
        <f>SUMIFS('Drop Data Kasir'!$B:$B, 'Drop Data Kasir'!$A:$A, $A9, 'Drop Data Kasir'!$C:$C, AD$5)</f>
        <v>2</v>
      </c>
      <c r="AE9" s="220">
        <f>SUMIFS('Drop Data Kasir'!$B:$B, 'Drop Data Kasir'!$A:$A, $A9, 'Drop Data Kasir'!$C:$C, AE$5)</f>
        <v>2</v>
      </c>
      <c r="AF9" s="220">
        <f>SUMIFS('Drop Data Kasir'!$B:$B, 'Drop Data Kasir'!$A:$A, $A9, 'Drop Data Kasir'!$C:$C, AF$5)</f>
        <v>0</v>
      </c>
      <c r="AG9" s="220">
        <f>SUMIFS('Drop Data Kasir'!$B:$B, 'Drop Data Kasir'!$A:$A, $A9, 'Drop Data Kasir'!$C:$C, AG$5)</f>
        <v>0</v>
      </c>
    </row>
    <row r="10">
      <c r="A10" s="18" t="str">
        <f>IFERROR(__xludf.DUMMYFUNCTION("""COMPUTED_VALUE"""),"Nasi Goreng Kara")</f>
        <v>Nasi Goreng Kara</v>
      </c>
      <c r="B10" s="223">
        <f>IFERROR(__xludf.DUMMYFUNCTION("""COMPUTED_VALUE"""),25000.0)</f>
        <v>25000</v>
      </c>
      <c r="C10" s="224">
        <v>31.0</v>
      </c>
      <c r="D10" s="219">
        <v>0.0</v>
      </c>
      <c r="E10" s="220">
        <v>3.0</v>
      </c>
      <c r="F10" s="220">
        <v>9.0</v>
      </c>
      <c r="G10" s="220">
        <v>11.0</v>
      </c>
      <c r="H10" s="220">
        <v>3.0</v>
      </c>
      <c r="I10" s="220">
        <v>1.0</v>
      </c>
      <c r="J10" s="220">
        <v>4.0</v>
      </c>
      <c r="K10" s="220">
        <v>1.0</v>
      </c>
      <c r="L10" s="220">
        <v>5.0</v>
      </c>
      <c r="M10" s="220">
        <v>5.0</v>
      </c>
      <c r="N10" s="220">
        <v>4.0</v>
      </c>
      <c r="O10" s="220">
        <v>2.0</v>
      </c>
      <c r="P10" s="220">
        <v>1.0</v>
      </c>
      <c r="Q10" s="220">
        <v>0.0</v>
      </c>
      <c r="R10" s="220">
        <v>1.0</v>
      </c>
      <c r="S10" s="220">
        <v>2.0</v>
      </c>
      <c r="T10" s="220">
        <v>5.0</v>
      </c>
      <c r="U10" s="220">
        <v>1.0</v>
      </c>
      <c r="V10" s="220">
        <v>7.0</v>
      </c>
      <c r="W10" s="220">
        <v>0.0</v>
      </c>
      <c r="X10" s="220">
        <f>SUMIFS('Drop Data Kasir'!$B:$B, 'Drop Data Kasir'!$A:$A, $A10, 'Drop Data Kasir'!$C:$C, X$5)</f>
        <v>3</v>
      </c>
      <c r="Y10" s="220">
        <f>SUMIFS('Drop Data Kasir'!$B:$B, 'Drop Data Kasir'!$A:$A, $A10, 'Drop Data Kasir'!$C:$C, Y$5)</f>
        <v>3</v>
      </c>
      <c r="Z10" s="220">
        <f>SUMIFS('Drop Data Kasir'!$B:$B, 'Drop Data Kasir'!$A:$A, $A10, 'Drop Data Kasir'!$C:$C, Z$5)</f>
        <v>6</v>
      </c>
      <c r="AA10" s="220">
        <f>SUMIFS('Drop Data Kasir'!$B:$B, 'Drop Data Kasir'!$A:$A, $A10, 'Drop Data Kasir'!$C:$C, AA$5)</f>
        <v>2</v>
      </c>
      <c r="AB10" s="220">
        <f>SUMIFS('Drop Data Kasir'!$B:$B, 'Drop Data Kasir'!$A:$A, $A10, 'Drop Data Kasir'!$C:$C, AB$5)</f>
        <v>12</v>
      </c>
      <c r="AC10" s="220">
        <f>SUMIFS('Drop Data Kasir'!$B:$B, 'Drop Data Kasir'!$A:$A, $A10, 'Drop Data Kasir'!$C:$C, AC$5)</f>
        <v>13</v>
      </c>
      <c r="AD10" s="220">
        <f>SUMIFS('Drop Data Kasir'!$B:$B, 'Drop Data Kasir'!$A:$A, $A10, 'Drop Data Kasir'!$C:$C, AD$5)</f>
        <v>6</v>
      </c>
      <c r="AE10" s="220">
        <f>SUMIFS('Drop Data Kasir'!$B:$B, 'Drop Data Kasir'!$A:$A, $A10, 'Drop Data Kasir'!$C:$C, AE$5)</f>
        <v>5</v>
      </c>
      <c r="AF10" s="220">
        <f>SUMIFS('Drop Data Kasir'!$B:$B, 'Drop Data Kasir'!$A:$A, $A10, 'Drop Data Kasir'!$C:$C, AF$5)</f>
        <v>0</v>
      </c>
      <c r="AG10" s="220">
        <f>SUMIFS('Drop Data Kasir'!$B:$B, 'Drop Data Kasir'!$A:$A, $A10, 'Drop Data Kasir'!$C:$C, AG$5)</f>
        <v>0</v>
      </c>
    </row>
    <row r="11">
      <c r="A11" s="18" t="str">
        <f>IFERROR(__xludf.DUMMYFUNCTION("""COMPUTED_VALUE"""),"Mie Yabi")</f>
        <v>Mie Yabi</v>
      </c>
      <c r="B11" s="223">
        <f>IFERROR(__xludf.DUMMYFUNCTION("""COMPUTED_VALUE"""),25000.0)</f>
        <v>25000</v>
      </c>
      <c r="C11" s="224">
        <v>24.0</v>
      </c>
      <c r="D11" s="219">
        <v>0.0</v>
      </c>
      <c r="E11" s="220">
        <v>0.0</v>
      </c>
      <c r="F11" s="220">
        <v>3.0</v>
      </c>
      <c r="G11" s="220">
        <v>3.0</v>
      </c>
      <c r="H11" s="220">
        <v>2.0</v>
      </c>
      <c r="I11" s="220">
        <v>1.0</v>
      </c>
      <c r="J11" s="220">
        <v>4.0</v>
      </c>
      <c r="K11" s="220">
        <v>0.0</v>
      </c>
      <c r="L11" s="220">
        <v>4.0</v>
      </c>
      <c r="M11" s="220">
        <v>3.0</v>
      </c>
      <c r="N11" s="220">
        <v>2.0</v>
      </c>
      <c r="O11" s="220">
        <v>1.0</v>
      </c>
      <c r="P11" s="220">
        <v>0.0</v>
      </c>
      <c r="Q11" s="220">
        <v>0.0</v>
      </c>
      <c r="R11" s="220">
        <v>2.0</v>
      </c>
      <c r="S11" s="220">
        <v>1.0</v>
      </c>
      <c r="T11" s="220">
        <v>3.0</v>
      </c>
      <c r="U11" s="220">
        <v>3.0</v>
      </c>
      <c r="V11" s="220">
        <v>2.0</v>
      </c>
      <c r="W11" s="220">
        <v>0.0</v>
      </c>
      <c r="X11" s="220">
        <f>SUMIFS('Drop Data Kasir'!$B:$B, 'Drop Data Kasir'!$A:$A, $A11, 'Drop Data Kasir'!$C:$C, X$5)</f>
        <v>1</v>
      </c>
      <c r="Y11" s="220">
        <f>SUMIFS('Drop Data Kasir'!$B:$B, 'Drop Data Kasir'!$A:$A, $A11, 'Drop Data Kasir'!$C:$C, Y$5)</f>
        <v>1</v>
      </c>
      <c r="Z11" s="220">
        <f>SUMIFS('Drop Data Kasir'!$B:$B, 'Drop Data Kasir'!$A:$A, $A11, 'Drop Data Kasir'!$C:$C, Z$5)</f>
        <v>2</v>
      </c>
      <c r="AA11" s="220">
        <f>SUMIFS('Drop Data Kasir'!$B:$B, 'Drop Data Kasir'!$A:$A, $A11, 'Drop Data Kasir'!$C:$C, AA$5)</f>
        <v>0</v>
      </c>
      <c r="AB11" s="220">
        <f>SUMIFS('Drop Data Kasir'!$B:$B, 'Drop Data Kasir'!$A:$A, $A11, 'Drop Data Kasir'!$C:$C, AB$5)</f>
        <v>3</v>
      </c>
      <c r="AC11" s="220">
        <f>SUMIFS('Drop Data Kasir'!$B:$B, 'Drop Data Kasir'!$A:$A, $A11, 'Drop Data Kasir'!$C:$C, AC$5)</f>
        <v>4</v>
      </c>
      <c r="AD11" s="220">
        <f>SUMIFS('Drop Data Kasir'!$B:$B, 'Drop Data Kasir'!$A:$A, $A11, 'Drop Data Kasir'!$C:$C, AD$5)</f>
        <v>2</v>
      </c>
      <c r="AE11" s="220">
        <f>SUMIFS('Drop Data Kasir'!$B:$B, 'Drop Data Kasir'!$A:$A, $A11, 'Drop Data Kasir'!$C:$C, AE$5)</f>
        <v>2</v>
      </c>
      <c r="AF11" s="220">
        <f>SUMIFS('Drop Data Kasir'!$B:$B, 'Drop Data Kasir'!$A:$A, $A11, 'Drop Data Kasir'!$C:$C, AF$5)</f>
        <v>0</v>
      </c>
      <c r="AG11" s="220">
        <f>SUMIFS('Drop Data Kasir'!$B:$B, 'Drop Data Kasir'!$A:$A, $A11, 'Drop Data Kasir'!$C:$C, AG$5)</f>
        <v>0</v>
      </c>
    </row>
    <row r="12">
      <c r="A12" s="18" t="str">
        <f>IFERROR(__xludf.DUMMYFUNCTION("""COMPUTED_VALUE"""),"Sour tea")</f>
        <v>Sour tea</v>
      </c>
      <c r="B12" s="223">
        <f>IFERROR(__xludf.DUMMYFUNCTION("""COMPUTED_VALUE"""),19000.0)</f>
        <v>19000</v>
      </c>
      <c r="C12" s="224">
        <v>21.0</v>
      </c>
      <c r="D12" s="219">
        <v>0.0</v>
      </c>
      <c r="E12" s="220">
        <v>1.0</v>
      </c>
      <c r="F12" s="220">
        <v>4.0</v>
      </c>
      <c r="G12" s="220">
        <v>5.0</v>
      </c>
      <c r="H12" s="220">
        <v>3.0</v>
      </c>
      <c r="I12" s="220">
        <v>1.0</v>
      </c>
      <c r="J12" s="220">
        <v>0.0</v>
      </c>
      <c r="K12" s="220">
        <v>3.0</v>
      </c>
      <c r="L12" s="220">
        <v>1.0</v>
      </c>
      <c r="M12" s="220">
        <v>7.0</v>
      </c>
      <c r="N12" s="220">
        <v>1.0</v>
      </c>
      <c r="O12" s="220">
        <v>0.0</v>
      </c>
      <c r="P12" s="220">
        <v>2.0</v>
      </c>
      <c r="Q12" s="220">
        <v>1.0</v>
      </c>
      <c r="R12" s="220">
        <v>0.0</v>
      </c>
      <c r="S12" s="220">
        <v>1.0</v>
      </c>
      <c r="T12" s="220">
        <v>0.0</v>
      </c>
      <c r="U12" s="220">
        <v>1.0</v>
      </c>
      <c r="V12" s="220">
        <v>2.0</v>
      </c>
      <c r="W12" s="220">
        <v>1.0</v>
      </c>
      <c r="X12" s="220">
        <f>SUMIFS('Drop Data Kasir'!$B:$B, 'Drop Data Kasir'!$A:$A, $A12, 'Drop Data Kasir'!$C:$C, X$5)</f>
        <v>3</v>
      </c>
      <c r="Y12" s="220">
        <f>SUMIFS('Drop Data Kasir'!$B:$B, 'Drop Data Kasir'!$A:$A, $A12, 'Drop Data Kasir'!$C:$C, Y$5)</f>
        <v>0</v>
      </c>
      <c r="Z12" s="220">
        <f>SUMIFS('Drop Data Kasir'!$B:$B, 'Drop Data Kasir'!$A:$A, $A12, 'Drop Data Kasir'!$C:$C, Z$5)</f>
        <v>0</v>
      </c>
      <c r="AA12" s="220">
        <f>SUMIFS('Drop Data Kasir'!$B:$B, 'Drop Data Kasir'!$A:$A, $A12, 'Drop Data Kasir'!$C:$C, AA$5)</f>
        <v>1</v>
      </c>
      <c r="AB12" s="220">
        <f>SUMIFS('Drop Data Kasir'!$B:$B, 'Drop Data Kasir'!$A:$A, $A12, 'Drop Data Kasir'!$C:$C, AB$5)</f>
        <v>1</v>
      </c>
      <c r="AC12" s="220">
        <f>SUMIFS('Drop Data Kasir'!$B:$B, 'Drop Data Kasir'!$A:$A, $A12, 'Drop Data Kasir'!$C:$C, AC$5)</f>
        <v>2</v>
      </c>
      <c r="AD12" s="220">
        <f>SUMIFS('Drop Data Kasir'!$B:$B, 'Drop Data Kasir'!$A:$A, $A12, 'Drop Data Kasir'!$C:$C, AD$5)</f>
        <v>1</v>
      </c>
      <c r="AE12" s="220">
        <f>SUMIFS('Drop Data Kasir'!$B:$B, 'Drop Data Kasir'!$A:$A, $A12, 'Drop Data Kasir'!$C:$C, AE$5)</f>
        <v>0</v>
      </c>
      <c r="AF12" s="220">
        <f>SUMIFS('Drop Data Kasir'!$B:$B, 'Drop Data Kasir'!$A:$A, $A12, 'Drop Data Kasir'!$C:$C, AF$5)</f>
        <v>0</v>
      </c>
      <c r="AG12" s="220">
        <f>SUMIFS('Drop Data Kasir'!$B:$B, 'Drop Data Kasir'!$A:$A, $A12, 'Drop Data Kasir'!$C:$C, AG$5)</f>
        <v>0</v>
      </c>
    </row>
    <row r="13">
      <c r="A13" s="18" t="str">
        <f>IFERROR(__xludf.DUMMYFUNCTION("""COMPUTED_VALUE"""),"americano")</f>
        <v>americano</v>
      </c>
      <c r="B13" s="223">
        <f>IFERROR(__xludf.DUMMYFUNCTION("""COMPUTED_VALUE"""),18000.0)</f>
        <v>18000</v>
      </c>
      <c r="C13" s="224">
        <v>19.0</v>
      </c>
      <c r="D13" s="219">
        <v>0.0</v>
      </c>
      <c r="E13" s="220">
        <v>5.0</v>
      </c>
      <c r="F13" s="220">
        <v>5.0</v>
      </c>
      <c r="G13" s="220">
        <v>3.0</v>
      </c>
      <c r="H13" s="220">
        <v>2.0</v>
      </c>
      <c r="I13" s="220">
        <v>2.0</v>
      </c>
      <c r="J13" s="220">
        <v>10.0</v>
      </c>
      <c r="K13" s="220">
        <v>2.0</v>
      </c>
      <c r="L13" s="220">
        <v>1.0</v>
      </c>
      <c r="M13" s="220">
        <v>6.0</v>
      </c>
      <c r="N13" s="220">
        <v>0.0</v>
      </c>
      <c r="O13" s="220">
        <v>2.0</v>
      </c>
      <c r="P13" s="220">
        <v>3.0</v>
      </c>
      <c r="Q13" s="220">
        <v>2.0</v>
      </c>
      <c r="R13" s="220">
        <v>3.0</v>
      </c>
      <c r="S13" s="220">
        <v>4.0</v>
      </c>
      <c r="T13" s="220">
        <v>3.0</v>
      </c>
      <c r="U13" s="220">
        <v>2.0</v>
      </c>
      <c r="V13" s="220">
        <v>1.0</v>
      </c>
      <c r="W13" s="220">
        <v>3.0</v>
      </c>
      <c r="X13" s="220">
        <f>SUMIFS('Drop Data Kasir'!$B:$B, 'Drop Data Kasir'!$A:$A, $A13, 'Drop Data Kasir'!$C:$C, X$5)</f>
        <v>1</v>
      </c>
      <c r="Y13" s="220">
        <f>SUMIFS('Drop Data Kasir'!$B:$B, 'Drop Data Kasir'!$A:$A, $A13, 'Drop Data Kasir'!$C:$C, Y$5)</f>
        <v>1</v>
      </c>
      <c r="Z13" s="220">
        <f>SUMIFS('Drop Data Kasir'!$B:$B, 'Drop Data Kasir'!$A:$A, $A13, 'Drop Data Kasir'!$C:$C, Z$5)</f>
        <v>3</v>
      </c>
      <c r="AA13" s="220">
        <f>SUMIFS('Drop Data Kasir'!$B:$B, 'Drop Data Kasir'!$A:$A, $A13, 'Drop Data Kasir'!$C:$C, AA$5)</f>
        <v>2</v>
      </c>
      <c r="AB13" s="220">
        <f>SUMIFS('Drop Data Kasir'!$B:$B, 'Drop Data Kasir'!$A:$A, $A13, 'Drop Data Kasir'!$C:$C, AB$5)</f>
        <v>2</v>
      </c>
      <c r="AC13" s="220">
        <f>SUMIFS('Drop Data Kasir'!$B:$B, 'Drop Data Kasir'!$A:$A, $A13, 'Drop Data Kasir'!$C:$C, AC$5)</f>
        <v>3</v>
      </c>
      <c r="AD13" s="220">
        <f>SUMIFS('Drop Data Kasir'!$B:$B, 'Drop Data Kasir'!$A:$A, $A13, 'Drop Data Kasir'!$C:$C, AD$5)</f>
        <v>0</v>
      </c>
      <c r="AE13" s="220">
        <f>SUMIFS('Drop Data Kasir'!$B:$B, 'Drop Data Kasir'!$A:$A, $A13, 'Drop Data Kasir'!$C:$C, AE$5)</f>
        <v>1</v>
      </c>
      <c r="AF13" s="220">
        <f>SUMIFS('Drop Data Kasir'!$B:$B, 'Drop Data Kasir'!$A:$A, $A13, 'Drop Data Kasir'!$C:$C, AF$5)</f>
        <v>0</v>
      </c>
      <c r="AG13" s="220">
        <f>SUMIFS('Drop Data Kasir'!$B:$B, 'Drop Data Kasir'!$A:$A, $A13, 'Drop Data Kasir'!$C:$C, AG$5)</f>
        <v>0</v>
      </c>
    </row>
    <row r="14">
      <c r="A14" s="18" t="str">
        <f>IFERROR(__xludf.DUMMYFUNCTION("""COMPUTED_VALUE"""),"Latte")</f>
        <v>Latte</v>
      </c>
      <c r="B14" s="223">
        <f>IFERROR(__xludf.DUMMYFUNCTION("""COMPUTED_VALUE"""),25000.0)</f>
        <v>25000</v>
      </c>
      <c r="C14" s="224">
        <v>18.0</v>
      </c>
      <c r="D14" s="219">
        <v>0.0</v>
      </c>
      <c r="E14" s="220">
        <v>0.0</v>
      </c>
      <c r="F14" s="220">
        <v>0.0</v>
      </c>
      <c r="G14" s="220">
        <v>2.0</v>
      </c>
      <c r="H14" s="220">
        <v>0.0</v>
      </c>
      <c r="I14" s="220">
        <v>0.0</v>
      </c>
      <c r="J14" s="220">
        <v>3.0</v>
      </c>
      <c r="K14" s="220">
        <v>0.0</v>
      </c>
      <c r="L14" s="220">
        <v>0.0</v>
      </c>
      <c r="M14" s="220">
        <v>1.0</v>
      </c>
      <c r="N14" s="220">
        <v>2.0</v>
      </c>
      <c r="O14" s="220">
        <v>2.0</v>
      </c>
      <c r="P14" s="220">
        <v>9.0</v>
      </c>
      <c r="Q14" s="220">
        <v>0.0</v>
      </c>
      <c r="R14" s="220">
        <v>2.0</v>
      </c>
      <c r="S14" s="220">
        <v>3.0</v>
      </c>
      <c r="T14" s="220">
        <v>10.0</v>
      </c>
      <c r="U14" s="220">
        <v>2.0</v>
      </c>
      <c r="V14" s="220">
        <v>1.0</v>
      </c>
      <c r="W14" s="220">
        <v>1.0</v>
      </c>
      <c r="X14" s="220">
        <f>SUMIFS('Drop Data Kasir'!$B:$B, 'Drop Data Kasir'!$A:$A, $A14, 'Drop Data Kasir'!$C:$C, X$5)</f>
        <v>0</v>
      </c>
      <c r="Y14" s="220">
        <f>SUMIFS('Drop Data Kasir'!$B:$B, 'Drop Data Kasir'!$A:$A, $A14, 'Drop Data Kasir'!$C:$C, Y$5)</f>
        <v>0</v>
      </c>
      <c r="Z14" s="220">
        <f>SUMIFS('Drop Data Kasir'!$B:$B, 'Drop Data Kasir'!$A:$A, $A14, 'Drop Data Kasir'!$C:$C, Z$5)</f>
        <v>0</v>
      </c>
      <c r="AA14" s="220">
        <f>SUMIFS('Drop Data Kasir'!$B:$B, 'Drop Data Kasir'!$A:$A, $A14, 'Drop Data Kasir'!$C:$C, AA$5)</f>
        <v>2</v>
      </c>
      <c r="AB14" s="220">
        <f>SUMIFS('Drop Data Kasir'!$B:$B, 'Drop Data Kasir'!$A:$A, $A14, 'Drop Data Kasir'!$C:$C, AB$5)</f>
        <v>2</v>
      </c>
      <c r="AC14" s="220">
        <f>SUMIFS('Drop Data Kasir'!$B:$B, 'Drop Data Kasir'!$A:$A, $A14, 'Drop Data Kasir'!$C:$C, AC$5)</f>
        <v>3</v>
      </c>
      <c r="AD14" s="220">
        <f>SUMIFS('Drop Data Kasir'!$B:$B, 'Drop Data Kasir'!$A:$A, $A14, 'Drop Data Kasir'!$C:$C, AD$5)</f>
        <v>0</v>
      </c>
      <c r="AE14" s="220">
        <f>SUMIFS('Drop Data Kasir'!$B:$B, 'Drop Data Kasir'!$A:$A, $A14, 'Drop Data Kasir'!$C:$C, AE$5)</f>
        <v>1</v>
      </c>
      <c r="AF14" s="219" t="s">
        <v>235</v>
      </c>
      <c r="AG14" s="220">
        <f>SUMIFS('Drop Data Kasir'!$B:$B, 'Drop Data Kasir'!$A:$A, $A14, 'Drop Data Kasir'!$C:$C, AG$5)</f>
        <v>0</v>
      </c>
    </row>
    <row r="15">
      <c r="A15" s="18" t="str">
        <f>IFERROR(__xludf.DUMMYFUNCTION("""COMPUTED_VALUE"""),"Nastar Frappe")</f>
        <v>Nastar Frappe</v>
      </c>
      <c r="B15" s="223">
        <f>IFERROR(__xludf.DUMMYFUNCTION("""COMPUTED_VALUE"""),25000.0)</f>
        <v>25000</v>
      </c>
      <c r="C15" s="224">
        <v>15.0</v>
      </c>
      <c r="D15" s="219">
        <v>0.0</v>
      </c>
      <c r="E15" s="220">
        <v>2.0</v>
      </c>
      <c r="F15" s="220">
        <v>2.0</v>
      </c>
      <c r="G15" s="220">
        <v>3.0</v>
      </c>
      <c r="H15" s="220">
        <v>1.0</v>
      </c>
      <c r="I15" s="220">
        <v>0.0</v>
      </c>
      <c r="J15" s="220">
        <v>1.0</v>
      </c>
      <c r="K15" s="220">
        <v>0.0</v>
      </c>
      <c r="L15" s="220">
        <v>0.0</v>
      </c>
      <c r="M15" s="220">
        <v>1.0</v>
      </c>
      <c r="N15" s="220">
        <v>0.0</v>
      </c>
      <c r="O15" s="220">
        <v>0.0</v>
      </c>
      <c r="P15" s="220">
        <v>1.0</v>
      </c>
      <c r="Q15" s="220">
        <v>0.0</v>
      </c>
      <c r="R15" s="220">
        <v>1.0</v>
      </c>
      <c r="S15" s="220">
        <v>0.0</v>
      </c>
      <c r="T15" s="220">
        <v>2.0</v>
      </c>
      <c r="U15" s="220">
        <v>0.0</v>
      </c>
      <c r="V15" s="220">
        <v>0.0</v>
      </c>
      <c r="W15" s="220">
        <v>0.0</v>
      </c>
      <c r="X15" s="220">
        <f>SUMIFS('Drop Data Kasir'!$B:$B, 'Drop Data Kasir'!$A:$A, $A15, 'Drop Data Kasir'!$C:$C, X$5)</f>
        <v>0</v>
      </c>
      <c r="Y15" s="220">
        <f>SUMIFS('Drop Data Kasir'!$B:$B, 'Drop Data Kasir'!$A:$A, $A15, 'Drop Data Kasir'!$C:$C, Y$5)</f>
        <v>1</v>
      </c>
      <c r="Z15" s="220">
        <f>SUMIFS('Drop Data Kasir'!$B:$B, 'Drop Data Kasir'!$A:$A, $A15, 'Drop Data Kasir'!$C:$C, Z$5)</f>
        <v>0</v>
      </c>
      <c r="AA15" s="220">
        <f>SUMIFS('Drop Data Kasir'!$B:$B, 'Drop Data Kasir'!$A:$A, $A15, 'Drop Data Kasir'!$C:$C, AA$5)</f>
        <v>0</v>
      </c>
      <c r="AB15" s="220">
        <f>SUMIFS('Drop Data Kasir'!$B:$B, 'Drop Data Kasir'!$A:$A, $A15, 'Drop Data Kasir'!$C:$C, AB$5)</f>
        <v>2</v>
      </c>
      <c r="AC15" s="220">
        <f>SUMIFS('Drop Data Kasir'!$B:$B, 'Drop Data Kasir'!$A:$A, $A15, 'Drop Data Kasir'!$C:$C, AC$5)</f>
        <v>0</v>
      </c>
      <c r="AD15" s="220">
        <f>SUMIFS('Drop Data Kasir'!$B:$B, 'Drop Data Kasir'!$A:$A, $A15, 'Drop Data Kasir'!$C:$C, AD$5)</f>
        <v>1</v>
      </c>
      <c r="AE15" s="220">
        <f>SUMIFS('Drop Data Kasir'!$B:$B, 'Drop Data Kasir'!$A:$A, $A15, 'Drop Data Kasir'!$C:$C, AE$5)</f>
        <v>1</v>
      </c>
      <c r="AF15" s="220">
        <f>SUMIFS('Drop Data Kasir'!$B:$B, 'Drop Data Kasir'!$A:$A, $A15, 'Drop Data Kasir'!$C:$C, AF$5)</f>
        <v>0</v>
      </c>
      <c r="AG15" s="220">
        <f>SUMIFS('Drop Data Kasir'!$B:$B, 'Drop Data Kasir'!$A:$A, $A15, 'Drop Data Kasir'!$C:$C, AG$5)</f>
        <v>0</v>
      </c>
    </row>
    <row r="16">
      <c r="A16" s="18" t="str">
        <f>IFERROR(__xludf.DUMMYFUNCTION("""COMPUTED_VALUE"""),"Teh puncak Jamus")</f>
        <v>Teh puncak Jamus</v>
      </c>
      <c r="B16" s="223">
        <f>IFERROR(__xludf.DUMMYFUNCTION("""COMPUTED_VALUE"""),15000.0)</f>
        <v>15000</v>
      </c>
      <c r="C16" s="224">
        <v>15.0</v>
      </c>
      <c r="D16" s="219">
        <v>0.0</v>
      </c>
      <c r="E16" s="220">
        <v>0.0</v>
      </c>
      <c r="F16" s="220">
        <v>1.0</v>
      </c>
      <c r="G16" s="220">
        <v>0.0</v>
      </c>
      <c r="H16" s="220">
        <v>1.0</v>
      </c>
      <c r="I16" s="220">
        <v>1.0</v>
      </c>
      <c r="J16" s="220">
        <v>5.0</v>
      </c>
      <c r="K16" s="220">
        <v>1.0</v>
      </c>
      <c r="L16" s="220">
        <v>1.0</v>
      </c>
      <c r="M16" s="220">
        <v>6.0</v>
      </c>
      <c r="N16" s="220">
        <v>0.0</v>
      </c>
      <c r="O16" s="220">
        <v>0.0</v>
      </c>
      <c r="P16" s="220">
        <v>3.0</v>
      </c>
      <c r="Q16" s="220">
        <v>3.0</v>
      </c>
      <c r="R16" s="220">
        <v>0.0</v>
      </c>
      <c r="S16" s="220">
        <v>4.0</v>
      </c>
      <c r="T16" s="220">
        <v>3.0</v>
      </c>
      <c r="U16" s="220">
        <v>0.0</v>
      </c>
      <c r="V16" s="220">
        <v>0.0</v>
      </c>
      <c r="W16" s="220">
        <v>0.0</v>
      </c>
      <c r="X16" s="220">
        <f>SUMIFS('Drop Data Kasir'!$B:$B, 'Drop Data Kasir'!$A:$A, $A16, 'Drop Data Kasir'!$C:$C, X$5)</f>
        <v>2</v>
      </c>
      <c r="Y16" s="220">
        <f>SUMIFS('Drop Data Kasir'!$B:$B, 'Drop Data Kasir'!$A:$A, $A16, 'Drop Data Kasir'!$C:$C, Y$5)</f>
        <v>0</v>
      </c>
      <c r="Z16" s="220">
        <f>SUMIFS('Drop Data Kasir'!$B:$B, 'Drop Data Kasir'!$A:$A, $A16, 'Drop Data Kasir'!$C:$C, Z$5)</f>
        <v>1</v>
      </c>
      <c r="AA16" s="220">
        <f>SUMIFS('Drop Data Kasir'!$B:$B, 'Drop Data Kasir'!$A:$A, $A16, 'Drop Data Kasir'!$C:$C, AA$5)</f>
        <v>0</v>
      </c>
      <c r="AB16" s="220">
        <f>SUMIFS('Drop Data Kasir'!$B:$B, 'Drop Data Kasir'!$A:$A, $A16, 'Drop Data Kasir'!$C:$C, AB$5)</f>
        <v>4</v>
      </c>
      <c r="AC16" s="220">
        <f>SUMIFS('Drop Data Kasir'!$B:$B, 'Drop Data Kasir'!$A:$A, $A16, 'Drop Data Kasir'!$C:$C, AC$5)</f>
        <v>1</v>
      </c>
      <c r="AD16" s="220">
        <f>SUMIFS('Drop Data Kasir'!$B:$B, 'Drop Data Kasir'!$A:$A, $A16, 'Drop Data Kasir'!$C:$C, AD$5)</f>
        <v>2</v>
      </c>
      <c r="AE16" s="220">
        <f>SUMIFS('Drop Data Kasir'!$B:$B, 'Drop Data Kasir'!$A:$A, $A16, 'Drop Data Kasir'!$C:$C, AE$5)</f>
        <v>1</v>
      </c>
      <c r="AF16" s="220">
        <f>SUMIFS('Drop Data Kasir'!$B:$B, 'Drop Data Kasir'!$A:$A, $A16, 'Drop Data Kasir'!$C:$C, AF$5)</f>
        <v>0</v>
      </c>
      <c r="AG16" s="220">
        <f>SUMIFS('Drop Data Kasir'!$B:$B, 'Drop Data Kasir'!$A:$A, $A16, 'Drop Data Kasir'!$C:$C, AG$5)</f>
        <v>0</v>
      </c>
    </row>
    <row r="17">
      <c r="A17" s="18" t="str">
        <f>IFERROR(__xludf.DUMMYFUNCTION("""COMPUTED_VALUE"""),"Air mineral besar")</f>
        <v>Air mineral besar</v>
      </c>
      <c r="B17" s="223">
        <f>IFERROR(__xludf.DUMMYFUNCTION("""COMPUTED_VALUE"""),17500.0)</f>
        <v>17500</v>
      </c>
      <c r="C17" s="224">
        <v>14.0</v>
      </c>
      <c r="D17" s="219">
        <v>0.0</v>
      </c>
      <c r="E17" s="220">
        <v>0.0</v>
      </c>
      <c r="F17" s="220">
        <v>4.0</v>
      </c>
      <c r="G17" s="220">
        <v>8.0</v>
      </c>
      <c r="H17" s="220">
        <v>11.0</v>
      </c>
      <c r="I17" s="220">
        <v>8.0</v>
      </c>
      <c r="J17" s="220">
        <v>3.0</v>
      </c>
      <c r="K17" s="220">
        <v>0.0</v>
      </c>
      <c r="L17" s="220">
        <v>0.0</v>
      </c>
      <c r="M17" s="220">
        <v>11.0</v>
      </c>
      <c r="N17" s="220">
        <v>4.0</v>
      </c>
      <c r="O17" s="220">
        <v>1.0</v>
      </c>
      <c r="P17" s="220">
        <v>2.0</v>
      </c>
      <c r="Q17" s="220">
        <v>3.0</v>
      </c>
      <c r="R17" s="220">
        <v>6.0</v>
      </c>
      <c r="S17" s="220">
        <v>2.0</v>
      </c>
      <c r="T17" s="220">
        <v>4.0</v>
      </c>
      <c r="U17" s="220">
        <v>2.0</v>
      </c>
      <c r="V17" s="220">
        <v>4.0</v>
      </c>
      <c r="W17" s="220">
        <v>7.0</v>
      </c>
      <c r="X17" s="220">
        <f>SUMIFS('Drop Data Kasir'!$B:$B, 'Drop Data Kasir'!$A:$A, $A17, 'Drop Data Kasir'!$C:$C, X$5)</f>
        <v>1</v>
      </c>
      <c r="Y17" s="220">
        <f>SUMIFS('Drop Data Kasir'!$B:$B, 'Drop Data Kasir'!$A:$A, $A17, 'Drop Data Kasir'!$C:$C, Y$5)</f>
        <v>8</v>
      </c>
      <c r="Z17" s="220">
        <f>SUMIFS('Drop Data Kasir'!$B:$B, 'Drop Data Kasir'!$A:$A, $A17, 'Drop Data Kasir'!$C:$C, Z$5)</f>
        <v>1</v>
      </c>
      <c r="AA17" s="220">
        <f>SUMIFS('Drop Data Kasir'!$B:$B, 'Drop Data Kasir'!$A:$A, $A17, 'Drop Data Kasir'!$C:$C, AA$5)</f>
        <v>3</v>
      </c>
      <c r="AB17" s="220">
        <f>SUMIFS('Drop Data Kasir'!$B:$B, 'Drop Data Kasir'!$A:$A, $A17, 'Drop Data Kasir'!$C:$C, AB$5)</f>
        <v>9</v>
      </c>
      <c r="AC17" s="220">
        <f>SUMIFS('Drop Data Kasir'!$B:$B, 'Drop Data Kasir'!$A:$A, $A17, 'Drop Data Kasir'!$C:$C, AC$5)</f>
        <v>10</v>
      </c>
      <c r="AD17" s="220">
        <f>SUMIFS('Drop Data Kasir'!$B:$B, 'Drop Data Kasir'!$A:$A, $A17, 'Drop Data Kasir'!$C:$C, AD$5)</f>
        <v>1</v>
      </c>
      <c r="AE17" s="220">
        <f>SUMIFS('Drop Data Kasir'!$B:$B, 'Drop Data Kasir'!$A:$A, $A17, 'Drop Data Kasir'!$C:$C, AE$5)</f>
        <v>2</v>
      </c>
      <c r="AF17" s="220">
        <f>SUMIFS('Drop Data Kasir'!$B:$B, 'Drop Data Kasir'!$A:$A, $A17, 'Drop Data Kasir'!$C:$C, AF$5)</f>
        <v>0</v>
      </c>
      <c r="AG17" s="220">
        <f>SUMIFS('Drop Data Kasir'!$B:$B, 'Drop Data Kasir'!$A:$A, $A17, 'Drop Data Kasir'!$C:$C, AG$5)</f>
        <v>0</v>
      </c>
    </row>
    <row r="18">
      <c r="A18" s="18" t="str">
        <f>IFERROR(__xludf.DUMMYFUNCTION("""COMPUTED_VALUE"""),"Teh Belanda")</f>
        <v>Teh Belanda</v>
      </c>
      <c r="B18" s="223">
        <f>IFERROR(__xludf.DUMMYFUNCTION("""COMPUTED_VALUE"""),13500.0)</f>
        <v>13500</v>
      </c>
      <c r="C18" s="224">
        <v>14.0</v>
      </c>
      <c r="D18" s="219">
        <v>0.0</v>
      </c>
      <c r="E18" s="220">
        <v>11.0</v>
      </c>
      <c r="F18" s="220">
        <v>4.0</v>
      </c>
      <c r="G18" s="220">
        <v>3.0</v>
      </c>
      <c r="H18" s="220">
        <v>2.0</v>
      </c>
      <c r="I18" s="220">
        <v>0.0</v>
      </c>
      <c r="J18" s="220">
        <v>1.0</v>
      </c>
      <c r="K18" s="220">
        <v>0.0</v>
      </c>
      <c r="L18" s="220">
        <v>0.0</v>
      </c>
      <c r="M18" s="220">
        <v>2.0</v>
      </c>
      <c r="N18" s="220">
        <v>0.0</v>
      </c>
      <c r="O18" s="220">
        <v>3.0</v>
      </c>
      <c r="P18" s="220">
        <v>2.0</v>
      </c>
      <c r="Q18" s="220">
        <v>1.0</v>
      </c>
      <c r="R18" s="220">
        <v>0.0</v>
      </c>
      <c r="S18" s="220">
        <v>12.0</v>
      </c>
      <c r="T18" s="220">
        <v>1.0</v>
      </c>
      <c r="U18" s="220">
        <v>1.0</v>
      </c>
      <c r="V18" s="220">
        <v>3.0</v>
      </c>
      <c r="W18" s="220">
        <v>0.0</v>
      </c>
      <c r="X18" s="220">
        <f>SUMIFS('Drop Data Kasir'!$B:$B, 'Drop Data Kasir'!$A:$A, $A18, 'Drop Data Kasir'!$C:$C, X$5)</f>
        <v>3</v>
      </c>
      <c r="Y18" s="220">
        <f>SUMIFS('Drop Data Kasir'!$B:$B, 'Drop Data Kasir'!$A:$A, $A18, 'Drop Data Kasir'!$C:$C, Y$5)</f>
        <v>0</v>
      </c>
      <c r="Z18" s="220">
        <f>SUMIFS('Drop Data Kasir'!$B:$B, 'Drop Data Kasir'!$A:$A, $A18, 'Drop Data Kasir'!$C:$C, Z$5)</f>
        <v>0</v>
      </c>
      <c r="AA18" s="220">
        <f>SUMIFS('Drop Data Kasir'!$B:$B, 'Drop Data Kasir'!$A:$A, $A18, 'Drop Data Kasir'!$C:$C, AA$5)</f>
        <v>2</v>
      </c>
      <c r="AB18" s="220">
        <f>SUMIFS('Drop Data Kasir'!$B:$B, 'Drop Data Kasir'!$A:$A, $A18, 'Drop Data Kasir'!$C:$C, AB$5)</f>
        <v>1</v>
      </c>
      <c r="AC18" s="220">
        <f>SUMIFS('Drop Data Kasir'!$B:$B, 'Drop Data Kasir'!$A:$A, $A18, 'Drop Data Kasir'!$C:$C, AC$5)</f>
        <v>2</v>
      </c>
      <c r="AD18" s="220">
        <f>SUMIFS('Drop Data Kasir'!$B:$B, 'Drop Data Kasir'!$A:$A, $A18, 'Drop Data Kasir'!$C:$C, AD$5)</f>
        <v>0</v>
      </c>
      <c r="AE18" s="220">
        <f>SUMIFS('Drop Data Kasir'!$B:$B, 'Drop Data Kasir'!$A:$A, $A18, 'Drop Data Kasir'!$C:$C, AE$5)</f>
        <v>0</v>
      </c>
      <c r="AF18" s="220">
        <f>SUMIFS('Drop Data Kasir'!$B:$B, 'Drop Data Kasir'!$A:$A, $A18, 'Drop Data Kasir'!$C:$C, AF$5)</f>
        <v>0</v>
      </c>
      <c r="AG18" s="220">
        <f>SUMIFS('Drop Data Kasir'!$B:$B, 'Drop Data Kasir'!$A:$A, $A18, 'Drop Data Kasir'!$C:$C, AG$5)</f>
        <v>0</v>
      </c>
    </row>
    <row r="19">
      <c r="A19" s="18" t="str">
        <f>IFERROR(__xludf.DUMMYFUNCTION("""COMPUTED_VALUE"""),"Sunny Beach")</f>
        <v>Sunny Beach</v>
      </c>
      <c r="B19" s="223">
        <f>IFERROR(__xludf.DUMMYFUNCTION("""COMPUTED_VALUE"""),25000.0)</f>
        <v>25000</v>
      </c>
      <c r="C19" s="224">
        <v>13.0</v>
      </c>
      <c r="D19" s="219">
        <v>0.0</v>
      </c>
      <c r="E19" s="220">
        <v>0.0</v>
      </c>
      <c r="F19" s="220">
        <v>5.0</v>
      </c>
      <c r="G19" s="220">
        <v>3.0</v>
      </c>
      <c r="H19" s="220">
        <v>0.0</v>
      </c>
      <c r="I19" s="220">
        <v>0.0</v>
      </c>
      <c r="J19" s="220">
        <v>0.0</v>
      </c>
      <c r="K19" s="220">
        <v>1.0</v>
      </c>
      <c r="L19" s="220">
        <v>1.0</v>
      </c>
      <c r="M19" s="220">
        <v>3.0</v>
      </c>
      <c r="N19" s="220">
        <v>1.0</v>
      </c>
      <c r="O19" s="220">
        <v>1.0</v>
      </c>
      <c r="P19" s="220">
        <v>2.0</v>
      </c>
      <c r="Q19" s="220">
        <v>0.0</v>
      </c>
      <c r="R19" s="220">
        <v>1.0</v>
      </c>
      <c r="S19" s="220">
        <v>0.0</v>
      </c>
      <c r="T19" s="220">
        <v>3.0</v>
      </c>
      <c r="U19" s="220">
        <v>0.0</v>
      </c>
      <c r="V19" s="220">
        <v>1.0</v>
      </c>
      <c r="W19" s="220">
        <v>0.0</v>
      </c>
      <c r="X19" s="220">
        <f>SUMIFS('Drop Data Kasir'!$B:$B, 'Drop Data Kasir'!$A:$A, $A19, 'Drop Data Kasir'!$C:$C, X$5)</f>
        <v>1</v>
      </c>
      <c r="Y19" s="220">
        <f>SUMIFS('Drop Data Kasir'!$B:$B, 'Drop Data Kasir'!$A:$A, $A19, 'Drop Data Kasir'!$C:$C, Y$5)</f>
        <v>0</v>
      </c>
      <c r="Z19" s="220">
        <f>SUMIFS('Drop Data Kasir'!$B:$B, 'Drop Data Kasir'!$A:$A, $A19, 'Drop Data Kasir'!$C:$C, Z$5)</f>
        <v>0</v>
      </c>
      <c r="AA19" s="220">
        <f>SUMIFS('Drop Data Kasir'!$B:$B, 'Drop Data Kasir'!$A:$A, $A19, 'Drop Data Kasir'!$C:$C, AA$5)</f>
        <v>0</v>
      </c>
      <c r="AB19" s="220">
        <f>SUMIFS('Drop Data Kasir'!$B:$B, 'Drop Data Kasir'!$A:$A, $A19, 'Drop Data Kasir'!$C:$C, AB$5)</f>
        <v>4</v>
      </c>
      <c r="AC19" s="220">
        <f>SUMIFS('Drop Data Kasir'!$B:$B, 'Drop Data Kasir'!$A:$A, $A19, 'Drop Data Kasir'!$C:$C, AC$5)</f>
        <v>1</v>
      </c>
      <c r="AD19" s="220">
        <f>SUMIFS('Drop Data Kasir'!$B:$B, 'Drop Data Kasir'!$A:$A, $A19, 'Drop Data Kasir'!$C:$C, AD$5)</f>
        <v>0</v>
      </c>
      <c r="AE19" s="220">
        <f>SUMIFS('Drop Data Kasir'!$B:$B, 'Drop Data Kasir'!$A:$A, $A19, 'Drop Data Kasir'!$C:$C, AE$5)</f>
        <v>0</v>
      </c>
      <c r="AF19" s="220">
        <f>SUMIFS('Drop Data Kasir'!$B:$B, 'Drop Data Kasir'!$A:$A, $A19, 'Drop Data Kasir'!$C:$C, AF$5)</f>
        <v>0</v>
      </c>
      <c r="AG19" s="220">
        <f>SUMIFS('Drop Data Kasir'!$B:$B, 'Drop Data Kasir'!$A:$A, $A19, 'Drop Data Kasir'!$C:$C, AG$5)</f>
        <v>0</v>
      </c>
    </row>
    <row r="20">
      <c r="A20" s="18" t="str">
        <f>IFERROR(__xludf.DUMMYFUNCTION("""COMPUTED_VALUE"""),"Air mineral")</f>
        <v>Air mineral</v>
      </c>
      <c r="B20" s="223">
        <f>IFERROR(__xludf.DUMMYFUNCTION("""COMPUTED_VALUE"""),8000.0)</f>
        <v>8000</v>
      </c>
      <c r="C20" s="224">
        <v>12.0</v>
      </c>
      <c r="D20" s="219">
        <v>0.0</v>
      </c>
      <c r="E20" s="220">
        <v>0.0</v>
      </c>
      <c r="F20" s="220">
        <v>0.0</v>
      </c>
      <c r="G20" s="220">
        <v>0.0</v>
      </c>
      <c r="H20" s="220">
        <v>0.0</v>
      </c>
      <c r="I20" s="220">
        <v>0.0</v>
      </c>
      <c r="J20" s="220">
        <v>1.0</v>
      </c>
      <c r="K20" s="220">
        <v>0.0</v>
      </c>
      <c r="L20" s="220">
        <v>0.0</v>
      </c>
      <c r="M20" s="220">
        <v>0.0</v>
      </c>
      <c r="N20" s="220">
        <v>0.0</v>
      </c>
      <c r="O20" s="220">
        <v>0.0</v>
      </c>
      <c r="P20" s="220">
        <v>0.0</v>
      </c>
      <c r="Q20" s="220">
        <v>0.0</v>
      </c>
      <c r="R20" s="220">
        <v>0.0</v>
      </c>
      <c r="S20" s="220">
        <v>0.0</v>
      </c>
      <c r="T20" s="220">
        <v>0.0</v>
      </c>
      <c r="U20" s="220">
        <v>0.0</v>
      </c>
      <c r="V20" s="220">
        <v>0.0</v>
      </c>
      <c r="W20" s="220">
        <v>0.0</v>
      </c>
      <c r="X20" s="220">
        <f>SUMIFS('Drop Data Kasir'!$B:$B, 'Drop Data Kasir'!$A:$A, $A20, 'Drop Data Kasir'!$C:$C, X$5)</f>
        <v>0</v>
      </c>
      <c r="Y20" s="220">
        <f>SUMIFS('Drop Data Kasir'!$B:$B, 'Drop Data Kasir'!$A:$A, $A20, 'Drop Data Kasir'!$C:$C, Y$5)</f>
        <v>0</v>
      </c>
      <c r="Z20" s="220">
        <f>SUMIFS('Drop Data Kasir'!$B:$B, 'Drop Data Kasir'!$A:$A, $A20, 'Drop Data Kasir'!$C:$C, Z$5)</f>
        <v>0</v>
      </c>
      <c r="AA20" s="220">
        <f>SUMIFS('Drop Data Kasir'!$B:$B, 'Drop Data Kasir'!$A:$A, $A20, 'Drop Data Kasir'!$C:$C, AA$5)</f>
        <v>0</v>
      </c>
      <c r="AB20" s="220">
        <f>SUMIFS('Drop Data Kasir'!$B:$B, 'Drop Data Kasir'!$A:$A, $A20, 'Drop Data Kasir'!$C:$C, AB$5)</f>
        <v>0</v>
      </c>
      <c r="AC20" s="220">
        <f>SUMIFS('Drop Data Kasir'!$B:$B, 'Drop Data Kasir'!$A:$A, $A20, 'Drop Data Kasir'!$C:$C, AC$5)</f>
        <v>0</v>
      </c>
      <c r="AD20" s="220">
        <f>SUMIFS('Drop Data Kasir'!$B:$B, 'Drop Data Kasir'!$A:$A, $A20, 'Drop Data Kasir'!$C:$C, AD$5)</f>
        <v>0</v>
      </c>
      <c r="AE20" s="220">
        <f>SUMIFS('Drop Data Kasir'!$B:$B, 'Drop Data Kasir'!$A:$A, $A20, 'Drop Data Kasir'!$C:$C, AE$5)</f>
        <v>0</v>
      </c>
      <c r="AF20" s="220">
        <f>SUMIFS('Drop Data Kasir'!$B:$B, 'Drop Data Kasir'!$A:$A, $A20, 'Drop Data Kasir'!$C:$C, AF$5)</f>
        <v>0</v>
      </c>
      <c r="AG20" s="220">
        <f>SUMIFS('Drop Data Kasir'!$B:$B, 'Drop Data Kasir'!$A:$A, $A20, 'Drop Data Kasir'!$C:$C, AG$5)</f>
        <v>0</v>
      </c>
    </row>
    <row r="21">
      <c r="A21" s="18" t="str">
        <f>IFERROR(__xludf.DUMMYFUNCTION("""COMPUTED_VALUE"""),"Kopi Nenek")</f>
        <v>Kopi Nenek</v>
      </c>
      <c r="B21" s="223">
        <f>IFERROR(__xludf.DUMMYFUNCTION("""COMPUTED_VALUE"""),9000.0)</f>
        <v>9000</v>
      </c>
      <c r="C21" s="224">
        <v>12.0</v>
      </c>
      <c r="D21" s="219">
        <v>0.0</v>
      </c>
      <c r="E21" s="220">
        <v>1.0</v>
      </c>
      <c r="F21" s="220">
        <v>4.0</v>
      </c>
      <c r="G21" s="220">
        <v>3.0</v>
      </c>
      <c r="H21" s="220">
        <v>1.0</v>
      </c>
      <c r="I21" s="220">
        <v>3.0</v>
      </c>
      <c r="J21" s="220">
        <v>6.0</v>
      </c>
      <c r="K21" s="220">
        <v>0.0</v>
      </c>
      <c r="L21" s="220">
        <v>0.0</v>
      </c>
      <c r="M21" s="220">
        <v>5.0</v>
      </c>
      <c r="N21" s="220">
        <v>0.0</v>
      </c>
      <c r="O21" s="220">
        <v>0.0</v>
      </c>
      <c r="P21" s="220">
        <v>0.0</v>
      </c>
      <c r="Q21" s="220">
        <v>0.0</v>
      </c>
      <c r="R21" s="220">
        <v>3.0</v>
      </c>
      <c r="S21" s="220">
        <v>1.0</v>
      </c>
      <c r="T21" s="220">
        <v>1.0</v>
      </c>
      <c r="U21" s="220">
        <v>1.0</v>
      </c>
      <c r="V21" s="220">
        <v>0.0</v>
      </c>
      <c r="W21" s="220">
        <v>0.0</v>
      </c>
      <c r="X21" s="220">
        <f>SUMIFS('Drop Data Kasir'!$B:$B, 'Drop Data Kasir'!$A:$A, $A21, 'Drop Data Kasir'!$C:$C, X$5)</f>
        <v>0</v>
      </c>
      <c r="Y21" s="220">
        <f>SUMIFS('Drop Data Kasir'!$B:$B, 'Drop Data Kasir'!$A:$A, $A21, 'Drop Data Kasir'!$C:$C, Y$5)</f>
        <v>0</v>
      </c>
      <c r="Z21" s="220">
        <f>SUMIFS('Drop Data Kasir'!$B:$B, 'Drop Data Kasir'!$A:$A, $A21, 'Drop Data Kasir'!$C:$C, Z$5)</f>
        <v>0</v>
      </c>
      <c r="AA21" s="220">
        <f>SUMIFS('Drop Data Kasir'!$B:$B, 'Drop Data Kasir'!$A:$A, $A21, 'Drop Data Kasir'!$C:$C, AA$5)</f>
        <v>5</v>
      </c>
      <c r="AB21" s="220">
        <f>SUMIFS('Drop Data Kasir'!$B:$B, 'Drop Data Kasir'!$A:$A, $A21, 'Drop Data Kasir'!$C:$C, AB$5)</f>
        <v>5</v>
      </c>
      <c r="AC21" s="220">
        <f>SUMIFS('Drop Data Kasir'!$B:$B, 'Drop Data Kasir'!$A:$A, $A21, 'Drop Data Kasir'!$C:$C, AC$5)</f>
        <v>0</v>
      </c>
      <c r="AD21" s="220">
        <f>SUMIFS('Drop Data Kasir'!$B:$B, 'Drop Data Kasir'!$A:$A, $A21, 'Drop Data Kasir'!$C:$C, AD$5)</f>
        <v>2</v>
      </c>
      <c r="AE21" s="220">
        <f>SUMIFS('Drop Data Kasir'!$B:$B, 'Drop Data Kasir'!$A:$A, $A21, 'Drop Data Kasir'!$C:$C, AE$5)</f>
        <v>3</v>
      </c>
      <c r="AF21" s="220">
        <f>SUMIFS('Drop Data Kasir'!$B:$B, 'Drop Data Kasir'!$A:$A, $A21, 'Drop Data Kasir'!$C:$C, AF$5)</f>
        <v>0</v>
      </c>
      <c r="AG21" s="220">
        <f>SUMIFS('Drop Data Kasir'!$B:$B, 'Drop Data Kasir'!$A:$A, $A21, 'Drop Data Kasir'!$C:$C, AG$5)</f>
        <v>0</v>
      </c>
    </row>
    <row r="22">
      <c r="A22" s="18" t="str">
        <f>IFERROR(__xludf.DUMMYFUNCTION("""COMPUTED_VALUE"""),"Wedang uwuh Ngawi")</f>
        <v>Wedang uwuh Ngawi</v>
      </c>
      <c r="B22" s="223">
        <f>IFERROR(__xludf.DUMMYFUNCTION("""COMPUTED_VALUE"""),13000.0)</f>
        <v>13000</v>
      </c>
      <c r="C22" s="224">
        <v>10.0</v>
      </c>
      <c r="D22" s="219">
        <v>0.0</v>
      </c>
      <c r="E22" s="220">
        <v>7.0</v>
      </c>
      <c r="F22" s="220">
        <v>1.0</v>
      </c>
      <c r="G22" s="220">
        <v>0.0</v>
      </c>
      <c r="H22" s="220">
        <v>0.0</v>
      </c>
      <c r="I22" s="220">
        <v>0.0</v>
      </c>
      <c r="J22" s="220">
        <v>0.0</v>
      </c>
      <c r="K22" s="220">
        <v>0.0</v>
      </c>
      <c r="L22" s="220">
        <v>0.0</v>
      </c>
      <c r="M22" s="220">
        <v>0.0</v>
      </c>
      <c r="N22" s="220">
        <v>0.0</v>
      </c>
      <c r="O22" s="220">
        <v>1.0</v>
      </c>
      <c r="P22" s="220">
        <v>0.0</v>
      </c>
      <c r="Q22" s="220">
        <v>0.0</v>
      </c>
      <c r="R22" s="220">
        <v>0.0</v>
      </c>
      <c r="S22" s="220">
        <v>0.0</v>
      </c>
      <c r="T22" s="220">
        <v>1.0</v>
      </c>
      <c r="U22" s="220">
        <v>0.0</v>
      </c>
      <c r="V22" s="220">
        <v>0.0</v>
      </c>
      <c r="W22" s="220">
        <v>0.0</v>
      </c>
      <c r="X22" s="220">
        <f>SUMIFS('Drop Data Kasir'!$B:$B, 'Drop Data Kasir'!$A:$A, $A22, 'Drop Data Kasir'!$C:$C, X$5)</f>
        <v>0</v>
      </c>
      <c r="Y22" s="220">
        <f>SUMIFS('Drop Data Kasir'!$B:$B, 'Drop Data Kasir'!$A:$A, $A22, 'Drop Data Kasir'!$C:$C, Y$5)</f>
        <v>0</v>
      </c>
      <c r="Z22" s="220">
        <f>SUMIFS('Drop Data Kasir'!$B:$B, 'Drop Data Kasir'!$A:$A, $A22, 'Drop Data Kasir'!$C:$C, Z$5)</f>
        <v>0</v>
      </c>
      <c r="AA22" s="220">
        <f>SUMIFS('Drop Data Kasir'!$B:$B, 'Drop Data Kasir'!$A:$A, $A22, 'Drop Data Kasir'!$C:$C, AA$5)</f>
        <v>0</v>
      </c>
      <c r="AB22" s="220">
        <f>SUMIFS('Drop Data Kasir'!$B:$B, 'Drop Data Kasir'!$A:$A, $A22, 'Drop Data Kasir'!$C:$C, AB$5)</f>
        <v>0</v>
      </c>
      <c r="AC22" s="220">
        <f>SUMIFS('Drop Data Kasir'!$B:$B, 'Drop Data Kasir'!$A:$A, $A22, 'Drop Data Kasir'!$C:$C, AC$5)</f>
        <v>0</v>
      </c>
      <c r="AD22" s="220">
        <f>SUMIFS('Drop Data Kasir'!$B:$B, 'Drop Data Kasir'!$A:$A, $A22, 'Drop Data Kasir'!$C:$C, AD$5)</f>
        <v>0</v>
      </c>
      <c r="AE22" s="220">
        <f>SUMIFS('Drop Data Kasir'!$B:$B, 'Drop Data Kasir'!$A:$A, $A22, 'Drop Data Kasir'!$C:$C, AE$5)</f>
        <v>0</v>
      </c>
      <c r="AF22" s="220">
        <f>SUMIFS('Drop Data Kasir'!$B:$B, 'Drop Data Kasir'!$A:$A, $A22, 'Drop Data Kasir'!$C:$C, AF$5)</f>
        <v>0</v>
      </c>
      <c r="AG22" s="220">
        <f>SUMIFS('Drop Data Kasir'!$B:$B, 'Drop Data Kasir'!$A:$A, $A22, 'Drop Data Kasir'!$C:$C, AG$5)</f>
        <v>0</v>
      </c>
    </row>
    <row r="23">
      <c r="A23" s="18" t="str">
        <f>IFERROR(__xludf.DUMMYFUNCTION("""COMPUTED_VALUE"""),"Curly Fries")</f>
        <v>Curly Fries</v>
      </c>
      <c r="B23" s="223">
        <f>IFERROR(__xludf.DUMMYFUNCTION("""COMPUTED_VALUE"""),22000.0)</f>
        <v>22000</v>
      </c>
      <c r="C23" s="224">
        <v>9.0</v>
      </c>
      <c r="D23" s="219">
        <v>0.0</v>
      </c>
      <c r="E23" s="220">
        <v>1.0</v>
      </c>
      <c r="F23" s="220">
        <v>3.0</v>
      </c>
      <c r="G23" s="220">
        <v>3.0</v>
      </c>
      <c r="H23" s="220">
        <v>3.0</v>
      </c>
      <c r="I23" s="220">
        <v>3.0</v>
      </c>
      <c r="J23" s="220">
        <v>3.0</v>
      </c>
      <c r="K23" s="220">
        <v>1.0</v>
      </c>
      <c r="L23" s="220">
        <v>3.0</v>
      </c>
      <c r="M23" s="220">
        <v>2.0</v>
      </c>
      <c r="N23" s="220">
        <v>3.0</v>
      </c>
      <c r="O23" s="220">
        <v>2.0</v>
      </c>
      <c r="P23" s="220">
        <v>5.0</v>
      </c>
      <c r="Q23" s="220">
        <v>1.0</v>
      </c>
      <c r="R23" s="220">
        <v>0.0</v>
      </c>
      <c r="S23" s="220">
        <v>4.0</v>
      </c>
      <c r="T23" s="220">
        <v>3.0</v>
      </c>
      <c r="U23" s="220">
        <v>7.0</v>
      </c>
      <c r="V23" s="220">
        <v>1.0</v>
      </c>
      <c r="W23" s="220">
        <v>3.0</v>
      </c>
      <c r="X23" s="220">
        <f>SUMIFS('Drop Data Kasir'!$B:$B, 'Drop Data Kasir'!$A:$A, $A23, 'Drop Data Kasir'!$C:$C, X$5)</f>
        <v>1</v>
      </c>
      <c r="Y23" s="220">
        <f>SUMIFS('Drop Data Kasir'!$B:$B, 'Drop Data Kasir'!$A:$A, $A23, 'Drop Data Kasir'!$C:$C, Y$5)</f>
        <v>1</v>
      </c>
      <c r="Z23" s="220">
        <f>SUMIFS('Drop Data Kasir'!$B:$B, 'Drop Data Kasir'!$A:$A, $A23, 'Drop Data Kasir'!$C:$C, Z$5)</f>
        <v>1</v>
      </c>
      <c r="AA23" s="220">
        <f>SUMIFS('Drop Data Kasir'!$B:$B, 'Drop Data Kasir'!$A:$A, $A23, 'Drop Data Kasir'!$C:$C, AA$5)</f>
        <v>4</v>
      </c>
      <c r="AB23" s="220">
        <f>SUMIFS('Drop Data Kasir'!$B:$B, 'Drop Data Kasir'!$A:$A, $A23, 'Drop Data Kasir'!$C:$C, AB$5)</f>
        <v>1</v>
      </c>
      <c r="AC23" s="220">
        <f>SUMIFS('Drop Data Kasir'!$B:$B, 'Drop Data Kasir'!$A:$A, $A23, 'Drop Data Kasir'!$C:$C, AC$5)</f>
        <v>6</v>
      </c>
      <c r="AD23" s="220">
        <f>SUMIFS('Drop Data Kasir'!$B:$B, 'Drop Data Kasir'!$A:$A, $A23, 'Drop Data Kasir'!$C:$C, AD$5)</f>
        <v>3</v>
      </c>
      <c r="AE23" s="220">
        <f>SUMIFS('Drop Data Kasir'!$B:$B, 'Drop Data Kasir'!$A:$A, $A23, 'Drop Data Kasir'!$C:$C, AE$5)</f>
        <v>1</v>
      </c>
      <c r="AF23" s="220">
        <f>SUMIFS('Drop Data Kasir'!$B:$B, 'Drop Data Kasir'!$A:$A, $A23, 'Drop Data Kasir'!$C:$C, AF$5)</f>
        <v>0</v>
      </c>
      <c r="AG23" s="220">
        <f>SUMIFS('Drop Data Kasir'!$B:$B, 'Drop Data Kasir'!$A:$A, $A23, 'Drop Data Kasir'!$C:$C, AG$5)</f>
        <v>0</v>
      </c>
    </row>
    <row r="24">
      <c r="A24" s="18" t="str">
        <f>IFERROR(__xludf.DUMMYFUNCTION("""COMPUTED_VALUE"""),"Hongkong Soft Tale")</f>
        <v>Hongkong Soft Tale</v>
      </c>
      <c r="B24" s="223">
        <f>IFERROR(__xludf.DUMMYFUNCTION("""COMPUTED_VALUE"""),21000.0)</f>
        <v>21000</v>
      </c>
      <c r="C24" s="224">
        <v>8.0</v>
      </c>
      <c r="D24" s="219">
        <v>0.0</v>
      </c>
      <c r="E24" s="220">
        <v>0.0</v>
      </c>
      <c r="F24" s="220">
        <v>1.0</v>
      </c>
      <c r="G24" s="220">
        <v>3.0</v>
      </c>
      <c r="H24" s="220">
        <v>1.0</v>
      </c>
      <c r="I24" s="220">
        <v>0.0</v>
      </c>
      <c r="J24" s="220">
        <v>1.0</v>
      </c>
      <c r="K24" s="220">
        <v>0.0</v>
      </c>
      <c r="L24" s="220">
        <v>0.0</v>
      </c>
      <c r="M24" s="220">
        <v>2.0</v>
      </c>
      <c r="N24" s="220">
        <v>0.0</v>
      </c>
      <c r="O24" s="220">
        <v>0.0</v>
      </c>
      <c r="P24" s="220">
        <v>1.0</v>
      </c>
      <c r="Q24" s="220">
        <v>1.0</v>
      </c>
      <c r="R24" s="220">
        <v>2.0</v>
      </c>
      <c r="S24" s="220">
        <v>0.0</v>
      </c>
      <c r="T24" s="220">
        <v>0.0</v>
      </c>
      <c r="U24" s="220">
        <v>1.0</v>
      </c>
      <c r="V24" s="220">
        <v>1.0</v>
      </c>
      <c r="W24" s="220">
        <v>0.0</v>
      </c>
      <c r="X24" s="220">
        <f>SUMIFS('Drop Data Kasir'!$B:$B, 'Drop Data Kasir'!$A:$A, $A24, 'Drop Data Kasir'!$C:$C, X$5)</f>
        <v>0</v>
      </c>
      <c r="Y24" s="220">
        <f>SUMIFS('Drop Data Kasir'!$B:$B, 'Drop Data Kasir'!$A:$A, $A24, 'Drop Data Kasir'!$C:$C, Y$5)</f>
        <v>0</v>
      </c>
      <c r="Z24" s="220">
        <f>SUMIFS('Drop Data Kasir'!$B:$B, 'Drop Data Kasir'!$A:$A, $A24, 'Drop Data Kasir'!$C:$C, Z$5)</f>
        <v>0</v>
      </c>
      <c r="AA24" s="220">
        <f>SUMIFS('Drop Data Kasir'!$B:$B, 'Drop Data Kasir'!$A:$A, $A24, 'Drop Data Kasir'!$C:$C, AA$5)</f>
        <v>0</v>
      </c>
      <c r="AB24" s="220">
        <f>SUMIFS('Drop Data Kasir'!$B:$B, 'Drop Data Kasir'!$A:$A, $A24, 'Drop Data Kasir'!$C:$C, AB$5)</f>
        <v>2</v>
      </c>
      <c r="AC24" s="220">
        <f>SUMIFS('Drop Data Kasir'!$B:$B, 'Drop Data Kasir'!$A:$A, $A24, 'Drop Data Kasir'!$C:$C, AC$5)</f>
        <v>1</v>
      </c>
      <c r="AD24" s="220">
        <f>SUMIFS('Drop Data Kasir'!$B:$B, 'Drop Data Kasir'!$A:$A, $A24, 'Drop Data Kasir'!$C:$C, AD$5)</f>
        <v>0</v>
      </c>
      <c r="AE24" s="220">
        <f>SUMIFS('Drop Data Kasir'!$B:$B, 'Drop Data Kasir'!$A:$A, $A24, 'Drop Data Kasir'!$C:$C, AE$5)</f>
        <v>0</v>
      </c>
      <c r="AF24" s="220">
        <f>SUMIFS('Drop Data Kasir'!$B:$B, 'Drop Data Kasir'!$A:$A, $A24, 'Drop Data Kasir'!$C:$C, AF$5)</f>
        <v>0</v>
      </c>
      <c r="AG24" s="220">
        <f>SUMIFS('Drop Data Kasir'!$B:$B, 'Drop Data Kasir'!$A:$A, $A24, 'Drop Data Kasir'!$C:$C, AG$5)</f>
        <v>0</v>
      </c>
    </row>
    <row r="25">
      <c r="A25" s="18" t="str">
        <f>IFERROR(__xludf.DUMMYFUNCTION("""COMPUTED_VALUE"""),"Jong Java")</f>
        <v>Jong Java</v>
      </c>
      <c r="B25" s="223">
        <f>IFERROR(__xludf.DUMMYFUNCTION("""COMPUTED_VALUE"""),21000.0)</f>
        <v>21000</v>
      </c>
      <c r="C25" s="224">
        <v>8.0</v>
      </c>
      <c r="D25" s="219">
        <v>0.0</v>
      </c>
      <c r="E25" s="220">
        <v>0.0</v>
      </c>
      <c r="F25" s="220">
        <v>1.0</v>
      </c>
      <c r="G25" s="220">
        <v>2.0</v>
      </c>
      <c r="H25" s="220">
        <v>4.0</v>
      </c>
      <c r="I25" s="220">
        <v>0.0</v>
      </c>
      <c r="J25" s="220">
        <v>0.0</v>
      </c>
      <c r="K25" s="220">
        <v>1.0</v>
      </c>
      <c r="L25" s="220">
        <v>2.0</v>
      </c>
      <c r="M25" s="220">
        <v>1.0</v>
      </c>
      <c r="N25" s="220">
        <v>0.0</v>
      </c>
      <c r="O25" s="220">
        <v>0.0</v>
      </c>
      <c r="P25" s="220">
        <v>1.0</v>
      </c>
      <c r="Q25" s="220">
        <v>1.0</v>
      </c>
      <c r="R25" s="220">
        <v>1.0</v>
      </c>
      <c r="S25" s="220">
        <v>0.0</v>
      </c>
      <c r="T25" s="220">
        <v>2.0</v>
      </c>
      <c r="U25" s="220">
        <v>0.0</v>
      </c>
      <c r="V25" s="220">
        <v>3.0</v>
      </c>
      <c r="W25" s="220">
        <v>2.0</v>
      </c>
      <c r="X25" s="220">
        <f>SUMIFS('Drop Data Kasir'!$B:$B, 'Drop Data Kasir'!$A:$A, $A25, 'Drop Data Kasir'!$C:$C, X$5)</f>
        <v>0</v>
      </c>
      <c r="Y25" s="220">
        <f>SUMIFS('Drop Data Kasir'!$B:$B, 'Drop Data Kasir'!$A:$A, $A25, 'Drop Data Kasir'!$C:$C, Y$5)</f>
        <v>0</v>
      </c>
      <c r="Z25" s="220">
        <f>SUMIFS('Drop Data Kasir'!$B:$B, 'Drop Data Kasir'!$A:$A, $A25, 'Drop Data Kasir'!$C:$C, Z$5)</f>
        <v>0</v>
      </c>
      <c r="AA25" s="220">
        <f>SUMIFS('Drop Data Kasir'!$B:$B, 'Drop Data Kasir'!$A:$A, $A25, 'Drop Data Kasir'!$C:$C, AA$5)</f>
        <v>1</v>
      </c>
      <c r="AB25" s="220">
        <f>SUMIFS('Drop Data Kasir'!$B:$B, 'Drop Data Kasir'!$A:$A, $A25, 'Drop Data Kasir'!$C:$C, AB$5)</f>
        <v>0</v>
      </c>
      <c r="AC25" s="220">
        <f>SUMIFS('Drop Data Kasir'!$B:$B, 'Drop Data Kasir'!$A:$A, $A25, 'Drop Data Kasir'!$C:$C, AC$5)</f>
        <v>1</v>
      </c>
      <c r="AD25" s="220">
        <f>SUMIFS('Drop Data Kasir'!$B:$B, 'Drop Data Kasir'!$A:$A, $A25, 'Drop Data Kasir'!$C:$C, AD$5)</f>
        <v>0</v>
      </c>
      <c r="AE25" s="220">
        <f>SUMIFS('Drop Data Kasir'!$B:$B, 'Drop Data Kasir'!$A:$A, $A25, 'Drop Data Kasir'!$C:$C, AE$5)</f>
        <v>0</v>
      </c>
      <c r="AF25" s="220">
        <f>SUMIFS('Drop Data Kasir'!$B:$B, 'Drop Data Kasir'!$A:$A, $A25, 'Drop Data Kasir'!$C:$C, AF$5)</f>
        <v>0</v>
      </c>
      <c r="AG25" s="220">
        <f>SUMIFS('Drop Data Kasir'!$B:$B, 'Drop Data Kasir'!$A:$A, $A25, 'Drop Data Kasir'!$C:$C, AG$5)</f>
        <v>0</v>
      </c>
    </row>
    <row r="26">
      <c r="A26" s="18" t="str">
        <f>IFERROR(__xludf.DUMMYFUNCTION("""COMPUTED_VALUE"""),"Wi Hel Mina Dream")</f>
        <v>Wi Hel Mina Dream</v>
      </c>
      <c r="B26" s="223">
        <f>IFERROR(__xludf.DUMMYFUNCTION("""COMPUTED_VALUE"""),28000.0)</f>
        <v>28000</v>
      </c>
      <c r="C26" s="224">
        <v>8.0</v>
      </c>
      <c r="D26" s="219">
        <v>0.0</v>
      </c>
      <c r="E26" s="220">
        <v>0.0</v>
      </c>
      <c r="F26" s="220">
        <v>0.0</v>
      </c>
      <c r="G26" s="220">
        <v>0.0</v>
      </c>
      <c r="H26" s="220">
        <v>1.0</v>
      </c>
      <c r="I26" s="220">
        <v>0.0</v>
      </c>
      <c r="J26" s="220">
        <v>0.0</v>
      </c>
      <c r="K26" s="220">
        <v>0.0</v>
      </c>
      <c r="L26" s="220">
        <v>0.0</v>
      </c>
      <c r="M26" s="220">
        <v>0.0</v>
      </c>
      <c r="N26" s="220">
        <v>0.0</v>
      </c>
      <c r="O26" s="220">
        <v>0.0</v>
      </c>
      <c r="P26" s="220">
        <v>0.0</v>
      </c>
      <c r="Q26" s="220">
        <v>1.0</v>
      </c>
      <c r="R26" s="220">
        <v>0.0</v>
      </c>
      <c r="S26" s="220">
        <v>1.0</v>
      </c>
      <c r="T26" s="220">
        <v>0.0</v>
      </c>
      <c r="U26" s="220">
        <v>0.0</v>
      </c>
      <c r="V26" s="220">
        <v>1.0</v>
      </c>
      <c r="W26" s="220">
        <v>0.0</v>
      </c>
      <c r="X26" s="220">
        <f>SUMIFS('Drop Data Kasir'!$B:$B, 'Drop Data Kasir'!$A:$A, $A26, 'Drop Data Kasir'!$C:$C, X$5)</f>
        <v>0</v>
      </c>
      <c r="Y26" s="220">
        <f>SUMIFS('Drop Data Kasir'!$B:$B, 'Drop Data Kasir'!$A:$A, $A26, 'Drop Data Kasir'!$C:$C, Y$5)</f>
        <v>0</v>
      </c>
      <c r="Z26" s="220">
        <f>SUMIFS('Drop Data Kasir'!$B:$B, 'Drop Data Kasir'!$A:$A, $A26, 'Drop Data Kasir'!$C:$C, Z$5)</f>
        <v>0</v>
      </c>
      <c r="AA26" s="220">
        <f>SUMIFS('Drop Data Kasir'!$B:$B, 'Drop Data Kasir'!$A:$A, $A26, 'Drop Data Kasir'!$C:$C, AA$5)</f>
        <v>0</v>
      </c>
      <c r="AB26" s="220">
        <f>SUMIFS('Drop Data Kasir'!$B:$B, 'Drop Data Kasir'!$A:$A, $A26, 'Drop Data Kasir'!$C:$C, AB$5)</f>
        <v>0</v>
      </c>
      <c r="AC26" s="220">
        <f>SUMIFS('Drop Data Kasir'!$B:$B, 'Drop Data Kasir'!$A:$A, $A26, 'Drop Data Kasir'!$C:$C, AC$5)</f>
        <v>0</v>
      </c>
      <c r="AD26" s="220">
        <f>SUMIFS('Drop Data Kasir'!$B:$B, 'Drop Data Kasir'!$A:$A, $A26, 'Drop Data Kasir'!$C:$C, AD$5)</f>
        <v>0</v>
      </c>
      <c r="AE26" s="220">
        <f>SUMIFS('Drop Data Kasir'!$B:$B, 'Drop Data Kasir'!$A:$A, $A26, 'Drop Data Kasir'!$C:$C, AE$5)</f>
        <v>0</v>
      </c>
      <c r="AF26" s="220">
        <f>SUMIFS('Drop Data Kasir'!$B:$B, 'Drop Data Kasir'!$A:$A, $A26, 'Drop Data Kasir'!$C:$C, AF$5)</f>
        <v>0</v>
      </c>
      <c r="AG26" s="220">
        <f>SUMIFS('Drop Data Kasir'!$B:$B, 'Drop Data Kasir'!$A:$A, $A26, 'Drop Data Kasir'!$C:$C, AG$5)</f>
        <v>0</v>
      </c>
    </row>
    <row r="27">
      <c r="A27" s="18" t="str">
        <f>IFERROR(__xludf.DUMMYFUNCTION("""COMPUTED_VALUE"""),"Pretty Queen")</f>
        <v>Pretty Queen</v>
      </c>
      <c r="B27" s="223">
        <f>IFERROR(__xludf.DUMMYFUNCTION("""COMPUTED_VALUE"""),24000.0)</f>
        <v>24000</v>
      </c>
      <c r="C27" s="224">
        <v>6.0</v>
      </c>
      <c r="D27" s="219">
        <v>0.0</v>
      </c>
      <c r="E27" s="220">
        <v>0.0</v>
      </c>
      <c r="F27" s="220">
        <v>1.0</v>
      </c>
      <c r="G27" s="220">
        <v>1.0</v>
      </c>
      <c r="H27" s="220">
        <v>2.0</v>
      </c>
      <c r="I27" s="220">
        <v>0.0</v>
      </c>
      <c r="J27" s="220">
        <v>1.0</v>
      </c>
      <c r="K27" s="220">
        <v>0.0</v>
      </c>
      <c r="L27" s="220">
        <v>2.0</v>
      </c>
      <c r="M27" s="220">
        <v>0.0</v>
      </c>
      <c r="N27" s="220">
        <v>0.0</v>
      </c>
      <c r="O27" s="220">
        <v>0.0</v>
      </c>
      <c r="P27" s="220">
        <v>0.0</v>
      </c>
      <c r="Q27" s="220">
        <v>0.0</v>
      </c>
      <c r="R27" s="220">
        <v>0.0</v>
      </c>
      <c r="S27" s="220">
        <v>0.0</v>
      </c>
      <c r="T27" s="220">
        <v>0.0</v>
      </c>
      <c r="U27" s="220">
        <v>0.0</v>
      </c>
      <c r="V27" s="220">
        <v>0.0</v>
      </c>
      <c r="W27" s="220">
        <v>1.0</v>
      </c>
      <c r="X27" s="220">
        <f>SUMIFS('Drop Data Kasir'!$B:$B, 'Drop Data Kasir'!$A:$A, $A27, 'Drop Data Kasir'!$C:$C, X$5)</f>
        <v>1</v>
      </c>
      <c r="Y27" s="220">
        <f>SUMIFS('Drop Data Kasir'!$B:$B, 'Drop Data Kasir'!$A:$A, $A27, 'Drop Data Kasir'!$C:$C, Y$5)</f>
        <v>0</v>
      </c>
      <c r="Z27" s="220">
        <f>SUMIFS('Drop Data Kasir'!$B:$B, 'Drop Data Kasir'!$A:$A, $A27, 'Drop Data Kasir'!$C:$C, Z$5)</f>
        <v>0</v>
      </c>
      <c r="AA27" s="220">
        <f>SUMIFS('Drop Data Kasir'!$B:$B, 'Drop Data Kasir'!$A:$A, $A27, 'Drop Data Kasir'!$C:$C, AA$5)</f>
        <v>0</v>
      </c>
      <c r="AB27" s="220">
        <f>SUMIFS('Drop Data Kasir'!$B:$B, 'Drop Data Kasir'!$A:$A, $A27, 'Drop Data Kasir'!$C:$C, AB$5)</f>
        <v>0</v>
      </c>
      <c r="AC27" s="220">
        <f>SUMIFS('Drop Data Kasir'!$B:$B, 'Drop Data Kasir'!$A:$A, $A27, 'Drop Data Kasir'!$C:$C, AC$5)</f>
        <v>0</v>
      </c>
      <c r="AD27" s="220">
        <f>SUMIFS('Drop Data Kasir'!$B:$B, 'Drop Data Kasir'!$A:$A, $A27, 'Drop Data Kasir'!$C:$C, AD$5)</f>
        <v>1</v>
      </c>
      <c r="AE27" s="220">
        <f>SUMIFS('Drop Data Kasir'!$B:$B, 'Drop Data Kasir'!$A:$A, $A27, 'Drop Data Kasir'!$C:$C, AE$5)</f>
        <v>0</v>
      </c>
      <c r="AF27" s="220">
        <f>SUMIFS('Drop Data Kasir'!$B:$B, 'Drop Data Kasir'!$A:$A, $A27, 'Drop Data Kasir'!$C:$C, AF$5)</f>
        <v>0</v>
      </c>
      <c r="AG27" s="220">
        <f>SUMIFS('Drop Data Kasir'!$B:$B, 'Drop Data Kasir'!$A:$A, $A27, 'Drop Data Kasir'!$C:$C, AG$5)</f>
        <v>0</v>
      </c>
    </row>
    <row r="28">
      <c r="A28" s="18" t="str">
        <f>IFERROR(__xludf.DUMMYFUNCTION("""COMPUTED_VALUE"""),"Tela goreng")</f>
        <v>Tela goreng</v>
      </c>
      <c r="B28" s="223">
        <f>IFERROR(__xludf.DUMMYFUNCTION("""COMPUTED_VALUE"""),13000.0)</f>
        <v>13000</v>
      </c>
      <c r="C28" s="224">
        <v>6.0</v>
      </c>
      <c r="D28" s="219">
        <v>0.0</v>
      </c>
      <c r="E28" s="220">
        <v>0.0</v>
      </c>
      <c r="F28" s="220">
        <v>0.0</v>
      </c>
      <c r="G28" s="220">
        <v>0.0</v>
      </c>
      <c r="H28" s="220">
        <v>0.0</v>
      </c>
      <c r="I28" s="220">
        <v>0.0</v>
      </c>
      <c r="J28" s="220">
        <v>1.0</v>
      </c>
      <c r="K28" s="220">
        <v>0.0</v>
      </c>
      <c r="L28" s="220">
        <v>1.0</v>
      </c>
      <c r="M28" s="220">
        <v>0.0</v>
      </c>
      <c r="N28" s="220">
        <v>1.0</v>
      </c>
      <c r="O28" s="220">
        <v>0.0</v>
      </c>
      <c r="P28" s="220">
        <v>0.0</v>
      </c>
      <c r="Q28" s="220">
        <v>1.0</v>
      </c>
      <c r="R28" s="220">
        <v>0.0</v>
      </c>
      <c r="S28" s="220">
        <v>0.0</v>
      </c>
      <c r="T28" s="220">
        <v>0.0</v>
      </c>
      <c r="U28" s="220">
        <v>0.0</v>
      </c>
      <c r="V28" s="220">
        <v>0.0</v>
      </c>
      <c r="W28" s="220">
        <v>0.0</v>
      </c>
      <c r="X28" s="220">
        <f>SUMIFS('Drop Data Kasir'!$B:$B, 'Drop Data Kasir'!$A:$A, $A28, 'Drop Data Kasir'!$C:$C, X$5)</f>
        <v>0</v>
      </c>
      <c r="Y28" s="220">
        <f>SUMIFS('Drop Data Kasir'!$B:$B, 'Drop Data Kasir'!$A:$A, $A28, 'Drop Data Kasir'!$C:$C, Y$5)</f>
        <v>0</v>
      </c>
      <c r="Z28" s="220">
        <f>SUMIFS('Drop Data Kasir'!$B:$B, 'Drop Data Kasir'!$A:$A, $A28, 'Drop Data Kasir'!$C:$C, Z$5)</f>
        <v>0</v>
      </c>
      <c r="AA28" s="220">
        <f>SUMIFS('Drop Data Kasir'!$B:$B, 'Drop Data Kasir'!$A:$A, $A28, 'Drop Data Kasir'!$C:$C, AA$5)</f>
        <v>0</v>
      </c>
      <c r="AB28" s="220">
        <f>SUMIFS('Drop Data Kasir'!$B:$B, 'Drop Data Kasir'!$A:$A, $A28, 'Drop Data Kasir'!$C:$C, AB$5)</f>
        <v>0</v>
      </c>
      <c r="AC28" s="220">
        <f>SUMIFS('Drop Data Kasir'!$B:$B, 'Drop Data Kasir'!$A:$A, $A28, 'Drop Data Kasir'!$C:$C, AC$5)</f>
        <v>0</v>
      </c>
      <c r="AD28" s="220">
        <f>SUMIFS('Drop Data Kasir'!$B:$B, 'Drop Data Kasir'!$A:$A, $A28, 'Drop Data Kasir'!$C:$C, AD$5)</f>
        <v>0</v>
      </c>
      <c r="AE28" s="220">
        <f>SUMIFS('Drop Data Kasir'!$B:$B, 'Drop Data Kasir'!$A:$A, $A28, 'Drop Data Kasir'!$C:$C, AE$5)</f>
        <v>0</v>
      </c>
      <c r="AF28" s="220">
        <f>SUMIFS('Drop Data Kasir'!$B:$B, 'Drop Data Kasir'!$A:$A, $A28, 'Drop Data Kasir'!$C:$C, AF$5)</f>
        <v>0</v>
      </c>
      <c r="AG28" s="220">
        <f>SUMIFS('Drop Data Kasir'!$B:$B, 'Drop Data Kasir'!$A:$A, $A28, 'Drop Data Kasir'!$C:$C, AG$5)</f>
        <v>0</v>
      </c>
    </row>
    <row r="29">
      <c r="A29" s="18" t="str">
        <f>IFERROR(__xludf.DUMMYFUNCTION("""COMPUTED_VALUE"""),"Singkong goreng")</f>
        <v>Singkong goreng</v>
      </c>
      <c r="B29" s="223">
        <f>IFERROR(__xludf.DUMMYFUNCTION("""COMPUTED_VALUE"""),13000.0)</f>
        <v>13000</v>
      </c>
      <c r="C29" s="224">
        <v>5.0</v>
      </c>
      <c r="D29" s="219">
        <v>0.0</v>
      </c>
      <c r="E29" s="220">
        <v>1.0</v>
      </c>
      <c r="F29" s="220">
        <v>1.0</v>
      </c>
      <c r="G29" s="220">
        <v>1.0</v>
      </c>
      <c r="H29" s="220">
        <v>0.0</v>
      </c>
      <c r="I29" s="220">
        <v>0.0</v>
      </c>
      <c r="J29" s="220">
        <v>1.0</v>
      </c>
      <c r="K29" s="220">
        <v>0.0</v>
      </c>
      <c r="L29" s="220">
        <v>1.0</v>
      </c>
      <c r="M29" s="220">
        <v>0.0</v>
      </c>
      <c r="N29" s="220">
        <v>0.0</v>
      </c>
      <c r="O29" s="220">
        <v>1.0</v>
      </c>
      <c r="P29" s="220">
        <v>0.0</v>
      </c>
      <c r="Q29" s="220">
        <v>0.0</v>
      </c>
      <c r="R29" s="220">
        <v>0.0</v>
      </c>
      <c r="S29" s="220">
        <v>1.0</v>
      </c>
      <c r="T29" s="220">
        <v>0.0</v>
      </c>
      <c r="U29" s="220">
        <v>0.0</v>
      </c>
      <c r="V29" s="220">
        <v>0.0</v>
      </c>
      <c r="W29" s="220">
        <v>0.0</v>
      </c>
      <c r="X29" s="220">
        <f>SUMIFS('Drop Data Kasir'!$B:$B, 'Drop Data Kasir'!$A:$A, $A29, 'Drop Data Kasir'!$C:$C, X$5)</f>
        <v>0</v>
      </c>
      <c r="Y29" s="220">
        <f>SUMIFS('Drop Data Kasir'!$B:$B, 'Drop Data Kasir'!$A:$A, $A29, 'Drop Data Kasir'!$C:$C, Y$5)</f>
        <v>0</v>
      </c>
      <c r="Z29" s="220">
        <f>SUMIFS('Drop Data Kasir'!$B:$B, 'Drop Data Kasir'!$A:$A, $A29, 'Drop Data Kasir'!$C:$C, Z$5)</f>
        <v>0</v>
      </c>
      <c r="AA29" s="220">
        <f>SUMIFS('Drop Data Kasir'!$B:$B, 'Drop Data Kasir'!$A:$A, $A29, 'Drop Data Kasir'!$C:$C, AA$5)</f>
        <v>0</v>
      </c>
      <c r="AB29" s="220">
        <f>SUMIFS('Drop Data Kasir'!$B:$B, 'Drop Data Kasir'!$A:$A, $A29, 'Drop Data Kasir'!$C:$C, AB$5)</f>
        <v>0</v>
      </c>
      <c r="AC29" s="220">
        <f>SUMIFS('Drop Data Kasir'!$B:$B, 'Drop Data Kasir'!$A:$A, $A29, 'Drop Data Kasir'!$C:$C, AC$5)</f>
        <v>0</v>
      </c>
      <c r="AD29" s="220">
        <f>SUMIFS('Drop Data Kasir'!$B:$B, 'Drop Data Kasir'!$A:$A, $A29, 'Drop Data Kasir'!$C:$C, AD$5)</f>
        <v>0</v>
      </c>
      <c r="AE29" s="220">
        <f>SUMIFS('Drop Data Kasir'!$B:$B, 'Drop Data Kasir'!$A:$A, $A29, 'Drop Data Kasir'!$C:$C, AE$5)</f>
        <v>0</v>
      </c>
      <c r="AF29" s="220">
        <f>SUMIFS('Drop Data Kasir'!$B:$B, 'Drop Data Kasir'!$A:$A, $A29, 'Drop Data Kasir'!$C:$C, AF$5)</f>
        <v>0</v>
      </c>
      <c r="AG29" s="220">
        <f>SUMIFS('Drop Data Kasir'!$B:$B, 'Drop Data Kasir'!$A:$A, $A29, 'Drop Data Kasir'!$C:$C, AG$5)</f>
        <v>0</v>
      </c>
    </row>
    <row r="30">
      <c r="A30" s="18" t="str">
        <f>IFERROR(__xludf.DUMMYFUNCTION("""COMPUTED_VALUE"""),"Tier 1 V60")</f>
        <v>Tier 1 V60</v>
      </c>
      <c r="B30" s="223">
        <f>IFERROR(__xludf.DUMMYFUNCTION("""COMPUTED_VALUE"""),48000.0)</f>
        <v>48000</v>
      </c>
      <c r="C30" s="224">
        <v>5.0</v>
      </c>
      <c r="D30" s="219">
        <v>0.0</v>
      </c>
      <c r="E30" s="220">
        <v>1.0</v>
      </c>
      <c r="F30" s="220">
        <v>1.0</v>
      </c>
      <c r="G30" s="220">
        <v>1.0</v>
      </c>
      <c r="H30" s="220">
        <v>0.0</v>
      </c>
      <c r="I30" s="220">
        <v>0.0</v>
      </c>
      <c r="J30" s="220">
        <v>1.0</v>
      </c>
      <c r="K30" s="220">
        <v>0.0</v>
      </c>
      <c r="L30" s="220">
        <v>0.0</v>
      </c>
      <c r="M30" s="220">
        <v>1.0</v>
      </c>
      <c r="N30" s="220">
        <v>0.0</v>
      </c>
      <c r="O30" s="220">
        <v>0.0</v>
      </c>
      <c r="P30" s="220">
        <v>0.0</v>
      </c>
      <c r="Q30" s="220">
        <v>2.0</v>
      </c>
      <c r="R30" s="220">
        <v>2.0</v>
      </c>
      <c r="S30" s="220">
        <v>1.0</v>
      </c>
      <c r="T30" s="220">
        <v>0.0</v>
      </c>
      <c r="U30" s="220">
        <v>1.0</v>
      </c>
      <c r="V30" s="220">
        <v>0.0</v>
      </c>
      <c r="W30" s="220">
        <v>1.0</v>
      </c>
      <c r="X30" s="220">
        <f>SUMIFS('Drop Data Kasir'!$B:$B, 'Drop Data Kasir'!$A:$A, $A30, 'Drop Data Kasir'!$C:$C, X$5)</f>
        <v>1</v>
      </c>
      <c r="Y30" s="220">
        <f>SUMIFS('Drop Data Kasir'!$B:$B, 'Drop Data Kasir'!$A:$A, $A30, 'Drop Data Kasir'!$C:$C, Y$5)</f>
        <v>1</v>
      </c>
      <c r="Z30" s="220">
        <f>SUMIFS('Drop Data Kasir'!$B:$B, 'Drop Data Kasir'!$A:$A, $A30, 'Drop Data Kasir'!$C:$C, Z$5)</f>
        <v>0</v>
      </c>
      <c r="AA30" s="220">
        <f>SUMIFS('Drop Data Kasir'!$B:$B, 'Drop Data Kasir'!$A:$A, $A30, 'Drop Data Kasir'!$C:$C, AA$5)</f>
        <v>2</v>
      </c>
      <c r="AB30" s="220">
        <f>SUMIFS('Drop Data Kasir'!$B:$B, 'Drop Data Kasir'!$A:$A, $A30, 'Drop Data Kasir'!$C:$C, AB$5)</f>
        <v>0</v>
      </c>
      <c r="AC30" s="220">
        <f>SUMIFS('Drop Data Kasir'!$B:$B, 'Drop Data Kasir'!$A:$A, $A30, 'Drop Data Kasir'!$C:$C, AC$5)</f>
        <v>0</v>
      </c>
      <c r="AD30" s="220">
        <f>SUMIFS('Drop Data Kasir'!$B:$B, 'Drop Data Kasir'!$A:$A, $A30, 'Drop Data Kasir'!$C:$C, AD$5)</f>
        <v>0</v>
      </c>
      <c r="AE30" s="220">
        <f>SUMIFS('Drop Data Kasir'!$B:$B, 'Drop Data Kasir'!$A:$A, $A30, 'Drop Data Kasir'!$C:$C, AE$5)</f>
        <v>0</v>
      </c>
      <c r="AF30" s="220">
        <f>SUMIFS('Drop Data Kasir'!$B:$B, 'Drop Data Kasir'!$A:$A, $A30, 'Drop Data Kasir'!$C:$C, AF$5)</f>
        <v>0</v>
      </c>
      <c r="AG30" s="220">
        <f>SUMIFS('Drop Data Kasir'!$B:$B, 'Drop Data Kasir'!$A:$A, $A30, 'Drop Data Kasir'!$C:$C, AG$5)</f>
        <v>0</v>
      </c>
    </row>
    <row r="31">
      <c r="A31" s="18" t="str">
        <f>IFERROR(__xludf.DUMMYFUNCTION("""COMPUTED_VALUE"""),"Tier 2 V60")</f>
        <v>Tier 2 V60</v>
      </c>
      <c r="B31" s="223">
        <f>IFERROR(__xludf.DUMMYFUNCTION("""COMPUTED_VALUE"""),68000.0)</f>
        <v>68000</v>
      </c>
      <c r="C31" s="224">
        <v>4.0</v>
      </c>
      <c r="D31" s="219">
        <v>0.0</v>
      </c>
      <c r="E31" s="220">
        <v>0.0</v>
      </c>
      <c r="F31" s="220">
        <v>0.0</v>
      </c>
      <c r="G31" s="220">
        <v>1.0</v>
      </c>
      <c r="H31" s="220">
        <v>1.0</v>
      </c>
      <c r="I31" s="220">
        <v>0.0</v>
      </c>
      <c r="J31" s="220">
        <v>0.0</v>
      </c>
      <c r="K31" s="220">
        <v>0.0</v>
      </c>
      <c r="L31" s="220">
        <v>1.0</v>
      </c>
      <c r="M31" s="220">
        <v>0.0</v>
      </c>
      <c r="N31" s="220">
        <v>0.0</v>
      </c>
      <c r="O31" s="220">
        <v>0.0</v>
      </c>
      <c r="P31" s="220">
        <v>1.0</v>
      </c>
      <c r="Q31" s="220">
        <v>0.0</v>
      </c>
      <c r="R31" s="220">
        <v>0.0</v>
      </c>
      <c r="S31" s="220">
        <v>1.0</v>
      </c>
      <c r="T31" s="220">
        <v>1.0</v>
      </c>
      <c r="U31" s="220">
        <v>0.0</v>
      </c>
      <c r="V31" s="220">
        <v>0.0</v>
      </c>
      <c r="W31" s="220">
        <v>1.0</v>
      </c>
      <c r="X31" s="220">
        <f>SUMIFS('Drop Data Kasir'!$B:$B, 'Drop Data Kasir'!$A:$A, $A31, 'Drop Data Kasir'!$C:$C, X$5)</f>
        <v>0</v>
      </c>
      <c r="Y31" s="220">
        <f>SUMIFS('Drop Data Kasir'!$B:$B, 'Drop Data Kasir'!$A:$A, $A31, 'Drop Data Kasir'!$C:$C, Y$5)</f>
        <v>0</v>
      </c>
      <c r="Z31" s="220">
        <f>SUMIFS('Drop Data Kasir'!$B:$B, 'Drop Data Kasir'!$A:$A, $A31, 'Drop Data Kasir'!$C:$C, Z$5)</f>
        <v>0</v>
      </c>
      <c r="AA31" s="220">
        <f>SUMIFS('Drop Data Kasir'!$B:$B, 'Drop Data Kasir'!$A:$A, $A31, 'Drop Data Kasir'!$C:$C, AA$5)</f>
        <v>0</v>
      </c>
      <c r="AB31" s="220">
        <f>SUMIFS('Drop Data Kasir'!$B:$B, 'Drop Data Kasir'!$A:$A, $A31, 'Drop Data Kasir'!$C:$C, AB$5)</f>
        <v>1</v>
      </c>
      <c r="AC31" s="220">
        <f>SUMIFS('Drop Data Kasir'!$B:$B, 'Drop Data Kasir'!$A:$A, $A31, 'Drop Data Kasir'!$C:$C, AC$5)</f>
        <v>0</v>
      </c>
      <c r="AD31" s="220">
        <f>SUMIFS('Drop Data Kasir'!$B:$B, 'Drop Data Kasir'!$A:$A, $A31, 'Drop Data Kasir'!$C:$C, AD$5)</f>
        <v>1</v>
      </c>
      <c r="AE31" s="220">
        <f>SUMIFS('Drop Data Kasir'!$B:$B, 'Drop Data Kasir'!$A:$A, $A31, 'Drop Data Kasir'!$C:$C, AE$5)</f>
        <v>1</v>
      </c>
      <c r="AF31" s="220">
        <f>SUMIFS('Drop Data Kasir'!$B:$B, 'Drop Data Kasir'!$A:$A, $A31, 'Drop Data Kasir'!$C:$C, AF$5)</f>
        <v>0</v>
      </c>
      <c r="AG31" s="220">
        <f>SUMIFS('Drop Data Kasir'!$B:$B, 'Drop Data Kasir'!$A:$A, $A31, 'Drop Data Kasir'!$C:$C, AG$5)</f>
        <v>0</v>
      </c>
    </row>
    <row r="32">
      <c r="A32" s="18" t="str">
        <f>IFERROR(__xludf.DUMMYFUNCTION("""COMPUTED_VALUE"""),"Tier 3 V60")</f>
        <v>Tier 3 V60</v>
      </c>
      <c r="B32" s="223">
        <f>IFERROR(__xludf.DUMMYFUNCTION("""COMPUTED_VALUE"""),88000.0)</f>
        <v>88000</v>
      </c>
      <c r="C32" s="224">
        <v>4.0</v>
      </c>
      <c r="D32" s="219">
        <v>0.0</v>
      </c>
      <c r="E32" s="220">
        <v>1.0</v>
      </c>
      <c r="F32" s="220">
        <v>1.0</v>
      </c>
      <c r="G32" s="220">
        <v>3.0</v>
      </c>
      <c r="H32" s="220">
        <v>0.0</v>
      </c>
      <c r="I32" s="220">
        <v>0.0</v>
      </c>
      <c r="J32" s="220">
        <v>1.0</v>
      </c>
      <c r="K32" s="220">
        <v>0.0</v>
      </c>
      <c r="L32" s="220">
        <v>0.0</v>
      </c>
      <c r="M32" s="220">
        <v>1.0</v>
      </c>
      <c r="N32" s="220">
        <v>3.0</v>
      </c>
      <c r="O32" s="220">
        <v>0.0</v>
      </c>
      <c r="P32" s="220">
        <v>1.0</v>
      </c>
      <c r="Q32" s="220">
        <v>0.0</v>
      </c>
      <c r="R32" s="220">
        <v>1.0</v>
      </c>
      <c r="S32" s="220">
        <v>1.0</v>
      </c>
      <c r="T32" s="220">
        <v>0.0</v>
      </c>
      <c r="U32" s="220">
        <v>2.0</v>
      </c>
      <c r="V32" s="220">
        <v>2.0</v>
      </c>
      <c r="W32" s="220">
        <v>1.0</v>
      </c>
      <c r="X32" s="220">
        <f>SUMIFS('Drop Data Kasir'!$B:$B, 'Drop Data Kasir'!$A:$A, $A32, 'Drop Data Kasir'!$C:$C, X$5)</f>
        <v>1</v>
      </c>
      <c r="Y32" s="220">
        <f>SUMIFS('Drop Data Kasir'!$B:$B, 'Drop Data Kasir'!$A:$A, $A32, 'Drop Data Kasir'!$C:$C, Y$5)</f>
        <v>0</v>
      </c>
      <c r="Z32" s="220">
        <f>SUMIFS('Drop Data Kasir'!$B:$B, 'Drop Data Kasir'!$A:$A, $A32, 'Drop Data Kasir'!$C:$C, Z$5)</f>
        <v>1</v>
      </c>
      <c r="AA32" s="220">
        <f>SUMIFS('Drop Data Kasir'!$B:$B, 'Drop Data Kasir'!$A:$A, $A32, 'Drop Data Kasir'!$C:$C, AA$5)</f>
        <v>2</v>
      </c>
      <c r="AB32" s="220">
        <f>SUMIFS('Drop Data Kasir'!$B:$B, 'Drop Data Kasir'!$A:$A, $A32, 'Drop Data Kasir'!$C:$C, AB$5)</f>
        <v>3</v>
      </c>
      <c r="AC32" s="220">
        <f>SUMIFS('Drop Data Kasir'!$B:$B, 'Drop Data Kasir'!$A:$A, $A32, 'Drop Data Kasir'!$C:$C, AC$5)</f>
        <v>4</v>
      </c>
      <c r="AD32" s="220">
        <f>SUMIFS('Drop Data Kasir'!$B:$B, 'Drop Data Kasir'!$A:$A, $A32, 'Drop Data Kasir'!$C:$C, AD$5)</f>
        <v>5</v>
      </c>
      <c r="AE32" s="220">
        <f>SUMIFS('Drop Data Kasir'!$B:$B, 'Drop Data Kasir'!$A:$A, $A32, 'Drop Data Kasir'!$C:$C, AE$5)</f>
        <v>0</v>
      </c>
      <c r="AF32" s="220">
        <f>SUMIFS('Drop Data Kasir'!$B:$B, 'Drop Data Kasir'!$A:$A, $A32, 'Drop Data Kasir'!$C:$C, AF$5)</f>
        <v>0</v>
      </c>
      <c r="AG32" s="220">
        <f>SUMIFS('Drop Data Kasir'!$B:$B, 'Drop Data Kasir'!$A:$A, $A32, 'Drop Data Kasir'!$C:$C, AG$5)</f>
        <v>0</v>
      </c>
    </row>
    <row r="33">
      <c r="A33" s="18" t="str">
        <f>IFERROR(__xludf.DUMMYFUNCTION("""COMPUTED_VALUE"""),"Red Light District")</f>
        <v>Red Light District</v>
      </c>
      <c r="B33" s="223">
        <f>IFERROR(__xludf.DUMMYFUNCTION("""COMPUTED_VALUE"""),21000.0)</f>
        <v>21000</v>
      </c>
      <c r="C33" s="224">
        <v>3.0</v>
      </c>
      <c r="D33" s="219">
        <v>0.0</v>
      </c>
      <c r="E33" s="220">
        <v>0.0</v>
      </c>
      <c r="F33" s="220">
        <v>1.0</v>
      </c>
      <c r="G33" s="220">
        <v>4.0</v>
      </c>
      <c r="H33" s="220">
        <v>0.0</v>
      </c>
      <c r="I33" s="220">
        <v>0.0</v>
      </c>
      <c r="J33" s="220">
        <v>0.0</v>
      </c>
      <c r="K33" s="220">
        <v>0.0</v>
      </c>
      <c r="L33" s="220">
        <v>4.0</v>
      </c>
      <c r="M33" s="220">
        <v>4.0</v>
      </c>
      <c r="N33" s="220">
        <v>0.0</v>
      </c>
      <c r="O33" s="220">
        <v>0.0</v>
      </c>
      <c r="P33" s="220">
        <v>0.0</v>
      </c>
      <c r="Q33" s="220">
        <v>1.0</v>
      </c>
      <c r="R33" s="220">
        <v>2.0</v>
      </c>
      <c r="S33" s="220">
        <v>0.0</v>
      </c>
      <c r="T33" s="220">
        <v>1.0</v>
      </c>
      <c r="U33" s="220">
        <v>1.0</v>
      </c>
      <c r="V33" s="220">
        <v>1.0</v>
      </c>
      <c r="W33" s="220">
        <v>1.0</v>
      </c>
      <c r="X33" s="220">
        <f>SUMIFS('Drop Data Kasir'!$B:$B, 'Drop Data Kasir'!$A:$A, $A33, 'Drop Data Kasir'!$C:$C, X$5)</f>
        <v>0</v>
      </c>
      <c r="Y33" s="220">
        <f>SUMIFS('Drop Data Kasir'!$B:$B, 'Drop Data Kasir'!$A:$A, $A33, 'Drop Data Kasir'!$C:$C, Y$5)</f>
        <v>1</v>
      </c>
      <c r="Z33" s="220">
        <f>SUMIFS('Drop Data Kasir'!$B:$B, 'Drop Data Kasir'!$A:$A, $A33, 'Drop Data Kasir'!$C:$C, Z$5)</f>
        <v>0</v>
      </c>
      <c r="AA33" s="220">
        <f>SUMIFS('Drop Data Kasir'!$B:$B, 'Drop Data Kasir'!$A:$A, $A33, 'Drop Data Kasir'!$C:$C, AA$5)</f>
        <v>0</v>
      </c>
      <c r="AB33" s="220">
        <f>SUMIFS('Drop Data Kasir'!$B:$B, 'Drop Data Kasir'!$A:$A, $A33, 'Drop Data Kasir'!$C:$C, AB$5)</f>
        <v>1</v>
      </c>
      <c r="AC33" s="220">
        <f>SUMIFS('Drop Data Kasir'!$B:$B, 'Drop Data Kasir'!$A:$A, $A33, 'Drop Data Kasir'!$C:$C, AC$5)</f>
        <v>1</v>
      </c>
      <c r="AD33" s="220">
        <f>SUMIFS('Drop Data Kasir'!$B:$B, 'Drop Data Kasir'!$A:$A, $A33, 'Drop Data Kasir'!$C:$C, AD$5)</f>
        <v>0</v>
      </c>
      <c r="AE33" s="220">
        <f>SUMIFS('Drop Data Kasir'!$B:$B, 'Drop Data Kasir'!$A:$A, $A33, 'Drop Data Kasir'!$C:$C, AE$5)</f>
        <v>0</v>
      </c>
      <c r="AF33" s="220">
        <f>SUMIFS('Drop Data Kasir'!$B:$B, 'Drop Data Kasir'!$A:$A, $A33, 'Drop Data Kasir'!$C:$C, AF$5)</f>
        <v>0</v>
      </c>
      <c r="AG33" s="220">
        <f>SUMIFS('Drop Data Kasir'!$B:$B, 'Drop Data Kasir'!$A:$A, $A33, 'Drop Data Kasir'!$C:$C, AG$5)</f>
        <v>0</v>
      </c>
    </row>
    <row r="34">
      <c r="A34" s="18" t="str">
        <f>IFERROR(__xludf.DUMMYFUNCTION("""COMPUTED_VALUE"""),"Espresso")</f>
        <v>Espresso</v>
      </c>
      <c r="B34" s="223">
        <f>IFERROR(__xludf.DUMMYFUNCTION("""COMPUTED_VALUE"""),15000.0)</f>
        <v>15000</v>
      </c>
      <c r="C34" s="248">
        <v>2.0</v>
      </c>
      <c r="D34" s="219">
        <v>0.0</v>
      </c>
      <c r="E34" s="220">
        <v>1.0</v>
      </c>
      <c r="F34" s="220">
        <v>0.0</v>
      </c>
      <c r="G34" s="220">
        <v>1.0</v>
      </c>
      <c r="H34" s="220">
        <v>0.0</v>
      </c>
      <c r="I34" s="220">
        <v>0.0</v>
      </c>
      <c r="J34" s="220">
        <v>1.0</v>
      </c>
      <c r="K34" s="220">
        <v>0.0</v>
      </c>
      <c r="L34" s="220">
        <v>1.0</v>
      </c>
      <c r="M34" s="220">
        <v>2.0</v>
      </c>
      <c r="N34" s="220">
        <v>0.0</v>
      </c>
      <c r="O34" s="220">
        <v>0.0</v>
      </c>
      <c r="P34" s="220">
        <v>0.0</v>
      </c>
      <c r="Q34" s="220">
        <v>0.0</v>
      </c>
      <c r="R34" s="220">
        <v>2.0</v>
      </c>
      <c r="S34" s="220">
        <v>0.0</v>
      </c>
      <c r="T34" s="220">
        <v>1.0</v>
      </c>
      <c r="U34" s="220">
        <v>1.0</v>
      </c>
      <c r="V34" s="220">
        <v>0.0</v>
      </c>
      <c r="W34" s="220">
        <v>0.0</v>
      </c>
      <c r="X34" s="220">
        <f>SUMIFS('Drop Data Kasir'!$B:$B, 'Drop Data Kasir'!$A:$A, $A34, 'Drop Data Kasir'!$C:$C, X$5)</f>
        <v>0</v>
      </c>
      <c r="Y34" s="220">
        <f>SUMIFS('Drop Data Kasir'!$B:$B, 'Drop Data Kasir'!$A:$A, $A34, 'Drop Data Kasir'!$C:$C, Y$5)</f>
        <v>0</v>
      </c>
      <c r="Z34" s="220">
        <f>SUMIFS('Drop Data Kasir'!$B:$B, 'Drop Data Kasir'!$A:$A, $A34, 'Drop Data Kasir'!$C:$C, Z$5)</f>
        <v>0</v>
      </c>
      <c r="AA34" s="220">
        <f>SUMIFS('Drop Data Kasir'!$B:$B, 'Drop Data Kasir'!$A:$A, $A34, 'Drop Data Kasir'!$C:$C, AA$5)</f>
        <v>3</v>
      </c>
      <c r="AB34" s="220">
        <f>SUMIFS('Drop Data Kasir'!$B:$B, 'Drop Data Kasir'!$A:$A, $A34, 'Drop Data Kasir'!$C:$C, AB$5)</f>
        <v>2</v>
      </c>
      <c r="AC34" s="220">
        <f>SUMIFS('Drop Data Kasir'!$B:$B, 'Drop Data Kasir'!$A:$A, $A34, 'Drop Data Kasir'!$C:$C, AC$5)</f>
        <v>1</v>
      </c>
      <c r="AD34" s="220">
        <f>SUMIFS('Drop Data Kasir'!$B:$B, 'Drop Data Kasir'!$A:$A, $A34, 'Drop Data Kasir'!$C:$C, AD$5)</f>
        <v>0</v>
      </c>
      <c r="AE34" s="220">
        <f>SUMIFS('Drop Data Kasir'!$B:$B, 'Drop Data Kasir'!$A:$A, $A34, 'Drop Data Kasir'!$C:$C, AE$5)</f>
        <v>0</v>
      </c>
      <c r="AF34" s="220">
        <f>SUMIFS('Drop Data Kasir'!$B:$B, 'Drop Data Kasir'!$A:$A, $A34, 'Drop Data Kasir'!$C:$C, AF$5)</f>
        <v>0</v>
      </c>
      <c r="AG34" s="220">
        <f>SUMIFS('Drop Data Kasir'!$B:$B, 'Drop Data Kasir'!$A:$A, $A34, 'Drop Data Kasir'!$C:$C, AG$5)</f>
        <v>0</v>
      </c>
    </row>
    <row r="35">
      <c r="A35" s="18" t="str">
        <f>IFERROR(__xludf.DUMMYFUNCTION("""COMPUTED_VALUE"""),"Chun Matcha")</f>
        <v>Chun Matcha</v>
      </c>
      <c r="B35" s="249">
        <f>IFERROR(__xludf.DUMMYFUNCTION("""COMPUTED_VALUE"""),35000.0)</f>
        <v>35000</v>
      </c>
      <c r="C35" s="7">
        <v>0.0</v>
      </c>
      <c r="D35" s="219">
        <v>0.0</v>
      </c>
      <c r="E35" s="18">
        <v>0.0</v>
      </c>
      <c r="F35" s="18">
        <v>1.0</v>
      </c>
      <c r="G35" s="18">
        <v>0.0</v>
      </c>
      <c r="H35" s="18">
        <v>0.0</v>
      </c>
      <c r="I35" s="18">
        <v>2.0</v>
      </c>
      <c r="J35" s="18">
        <v>1.0</v>
      </c>
      <c r="K35" s="18">
        <v>0.0</v>
      </c>
      <c r="L35" s="18">
        <v>2.0</v>
      </c>
      <c r="M35" s="18">
        <v>3.0</v>
      </c>
      <c r="N35" s="18">
        <v>0.0</v>
      </c>
      <c r="O35" s="18">
        <v>0.0</v>
      </c>
      <c r="P35" s="18">
        <v>0.0</v>
      </c>
      <c r="Q35" s="18">
        <v>0.0</v>
      </c>
      <c r="R35" s="18">
        <v>1.0</v>
      </c>
      <c r="S35" s="18">
        <v>1.0</v>
      </c>
      <c r="T35" s="18">
        <v>2.0</v>
      </c>
      <c r="U35" s="18">
        <v>2.0</v>
      </c>
      <c r="V35" s="18">
        <v>2.0</v>
      </c>
      <c r="W35" s="18">
        <v>2.0</v>
      </c>
      <c r="X35" s="18">
        <f>SUMIFS('Drop Data Kasir'!$B:$B, 'Drop Data Kasir'!$A:$A, $A35, 'Drop Data Kasir'!$C:$C, X$5)</f>
        <v>2</v>
      </c>
      <c r="Y35" s="18">
        <f>SUMIFS('Drop Data Kasir'!$B:$B, 'Drop Data Kasir'!$A:$A, $A35, 'Drop Data Kasir'!$C:$C, Y$5)</f>
        <v>2</v>
      </c>
      <c r="Z35" s="18">
        <f>SUMIFS('Drop Data Kasir'!$B:$B, 'Drop Data Kasir'!$A:$A, $A35, 'Drop Data Kasir'!$C:$C, Z$5)</f>
        <v>2</v>
      </c>
      <c r="AA35" s="18">
        <f>SUMIFS('Drop Data Kasir'!$B:$B, 'Drop Data Kasir'!$A:$A, $A35, 'Drop Data Kasir'!$C:$C, AA$5)</f>
        <v>2</v>
      </c>
      <c r="AB35" s="18">
        <f>SUMIFS('Drop Data Kasir'!$B:$B, 'Drop Data Kasir'!$A:$A, $A35, 'Drop Data Kasir'!$C:$C, AB$5)</f>
        <v>1</v>
      </c>
      <c r="AC35" s="18">
        <f>SUMIFS('Drop Data Kasir'!$B:$B, 'Drop Data Kasir'!$A:$A, $A35, 'Drop Data Kasir'!$C:$C, AC$5)</f>
        <v>0</v>
      </c>
      <c r="AD35" s="18">
        <f>SUMIFS('Drop Data Kasir'!$B:$B, 'Drop Data Kasir'!$A:$A, $A35, 'Drop Data Kasir'!$C:$C, AD$5)</f>
        <v>1</v>
      </c>
      <c r="AE35" s="18">
        <f>SUMIFS('Drop Data Kasir'!$B:$B, 'Drop Data Kasir'!$A:$A, $A35, 'Drop Data Kasir'!$C:$C, AE$5)</f>
        <v>1</v>
      </c>
      <c r="AF35" s="18">
        <f>SUMIFS('Drop Data Kasir'!$B:$B, 'Drop Data Kasir'!$A:$A, $A35, 'Drop Data Kasir'!$C:$C, AF$5)</f>
        <v>0</v>
      </c>
      <c r="AG35" s="18">
        <f>SUMIFS('Drop Data Kasir'!$B:$B, 'Drop Data Kasir'!$A:$A, $A35, 'Drop Data Kasir'!$C:$C, AG$5)</f>
        <v>0</v>
      </c>
    </row>
    <row r="36">
      <c r="A36" s="18" t="str">
        <f>IFERROR(__xludf.DUMMYFUNCTION("""COMPUTED_VALUE"""),"Natie Matcha")</f>
        <v>Natie Matcha</v>
      </c>
      <c r="B36" s="249">
        <f>IFERROR(__xludf.DUMMYFUNCTION("""COMPUTED_VALUE"""),38000.0)</f>
        <v>38000</v>
      </c>
      <c r="C36" s="7">
        <v>0.0</v>
      </c>
      <c r="D36" s="219">
        <v>0.0</v>
      </c>
      <c r="E36" s="18">
        <v>2.0</v>
      </c>
      <c r="F36" s="18">
        <v>9.0</v>
      </c>
      <c r="G36" s="18">
        <v>5.0</v>
      </c>
      <c r="H36" s="18">
        <v>3.0</v>
      </c>
      <c r="I36" s="18">
        <v>4.0</v>
      </c>
      <c r="J36" s="18">
        <v>1.0</v>
      </c>
      <c r="K36" s="18">
        <v>1.0</v>
      </c>
      <c r="L36" s="18">
        <v>4.0</v>
      </c>
      <c r="M36" s="18">
        <v>5.0</v>
      </c>
      <c r="N36" s="18">
        <v>3.0</v>
      </c>
      <c r="O36" s="18">
        <v>1.0</v>
      </c>
      <c r="P36" s="18">
        <v>1.0</v>
      </c>
      <c r="Q36" s="18">
        <v>0.0</v>
      </c>
      <c r="R36" s="18">
        <v>1.0</v>
      </c>
      <c r="S36" s="18">
        <v>2.0</v>
      </c>
      <c r="T36" s="18">
        <v>2.0</v>
      </c>
      <c r="U36" s="18">
        <v>0.0</v>
      </c>
      <c r="V36" s="18">
        <v>4.0</v>
      </c>
      <c r="W36" s="18">
        <v>0.0</v>
      </c>
      <c r="X36" s="18">
        <f>SUMIFS('Drop Data Kasir'!$B:$B, 'Drop Data Kasir'!$A:$A, $A36, 'Drop Data Kasir'!$C:$C, X$5)</f>
        <v>2</v>
      </c>
      <c r="Y36" s="18">
        <f>SUMIFS('Drop Data Kasir'!$B:$B, 'Drop Data Kasir'!$A:$A, $A36, 'Drop Data Kasir'!$C:$C, Y$5)</f>
        <v>0</v>
      </c>
      <c r="Z36" s="18">
        <f>SUMIFS('Drop Data Kasir'!$B:$B, 'Drop Data Kasir'!$A:$A, $A36, 'Drop Data Kasir'!$C:$C, Z$5)</f>
        <v>1</v>
      </c>
      <c r="AA36" s="18">
        <f>SUMIFS('Drop Data Kasir'!$B:$B, 'Drop Data Kasir'!$A:$A, $A36, 'Drop Data Kasir'!$C:$C, AA$5)</f>
        <v>3</v>
      </c>
      <c r="AB36" s="18">
        <f>SUMIFS('Drop Data Kasir'!$B:$B, 'Drop Data Kasir'!$A:$A, $A36, 'Drop Data Kasir'!$C:$C, AB$5)</f>
        <v>1</v>
      </c>
      <c r="AC36" s="18">
        <f>SUMIFS('Drop Data Kasir'!$B:$B, 'Drop Data Kasir'!$A:$A, $A36, 'Drop Data Kasir'!$C:$C, AC$5)</f>
        <v>3</v>
      </c>
      <c r="AD36" s="18">
        <f>SUMIFS('Drop Data Kasir'!$B:$B, 'Drop Data Kasir'!$A:$A, $A36, 'Drop Data Kasir'!$C:$C, AD$5)</f>
        <v>1</v>
      </c>
      <c r="AE36" s="18">
        <f>SUMIFS('Drop Data Kasir'!$B:$B, 'Drop Data Kasir'!$A:$A, $A36, 'Drop Data Kasir'!$C:$C, AE$5)</f>
        <v>0</v>
      </c>
      <c r="AF36" s="18">
        <f>SUMIFS('Drop Data Kasir'!$B:$B, 'Drop Data Kasir'!$A:$A, $A36, 'Drop Data Kasir'!$C:$C, AF$5)</f>
        <v>0</v>
      </c>
      <c r="AG36" s="18">
        <f>SUMIFS('Drop Data Kasir'!$B:$B, 'Drop Data Kasir'!$A:$A, $A36, 'Drop Data Kasir'!$C:$C, AG$5)</f>
        <v>0</v>
      </c>
    </row>
    <row r="37">
      <c r="A37" s="18" t="str">
        <f>IFERROR(__xludf.DUMMYFUNCTION("""COMPUTED_VALUE"""),"Pure Chocolade")</f>
        <v>Pure Chocolade</v>
      </c>
      <c r="B37" s="249">
        <f>IFERROR(__xludf.DUMMYFUNCTION("""COMPUTED_VALUE"""),29000.0)</f>
        <v>29000</v>
      </c>
      <c r="C37" s="7">
        <v>0.0</v>
      </c>
      <c r="D37" s="219">
        <v>0.0</v>
      </c>
      <c r="E37" s="18">
        <v>3.0</v>
      </c>
      <c r="F37" s="18">
        <v>6.0</v>
      </c>
      <c r="G37" s="18">
        <v>10.0</v>
      </c>
      <c r="H37" s="18">
        <v>3.0</v>
      </c>
      <c r="I37" s="18">
        <v>3.0</v>
      </c>
      <c r="J37" s="18">
        <v>4.0</v>
      </c>
      <c r="K37" s="18">
        <v>0.0</v>
      </c>
      <c r="L37" s="18">
        <v>2.0</v>
      </c>
      <c r="M37" s="18">
        <v>7.0</v>
      </c>
      <c r="N37" s="18">
        <v>2.0</v>
      </c>
      <c r="O37" s="18">
        <v>3.0</v>
      </c>
      <c r="P37" s="18">
        <v>2.0</v>
      </c>
      <c r="Q37" s="18">
        <v>0.0</v>
      </c>
      <c r="R37" s="18">
        <v>2.0</v>
      </c>
      <c r="S37" s="18">
        <v>2.0</v>
      </c>
      <c r="T37" s="18">
        <v>5.0</v>
      </c>
      <c r="U37" s="18">
        <v>4.0</v>
      </c>
      <c r="V37" s="18">
        <v>7.0</v>
      </c>
      <c r="W37" s="18">
        <v>1.0</v>
      </c>
      <c r="X37" s="18">
        <f>SUMIFS('Drop Data Kasir'!$B:$B, 'Drop Data Kasir'!$A:$A, $A37, 'Drop Data Kasir'!$C:$C, X$5)</f>
        <v>0</v>
      </c>
      <c r="Y37" s="18">
        <f>SUMIFS('Drop Data Kasir'!$B:$B, 'Drop Data Kasir'!$A:$A, $A37, 'Drop Data Kasir'!$C:$C, Y$5)</f>
        <v>0</v>
      </c>
      <c r="Z37" s="18">
        <f>SUMIFS('Drop Data Kasir'!$B:$B, 'Drop Data Kasir'!$A:$A, $A37, 'Drop Data Kasir'!$C:$C, Z$5)</f>
        <v>0</v>
      </c>
      <c r="AA37" s="18">
        <f>SUMIFS('Drop Data Kasir'!$B:$B, 'Drop Data Kasir'!$A:$A, $A37, 'Drop Data Kasir'!$C:$C, AA$5)</f>
        <v>2</v>
      </c>
      <c r="AB37" s="18">
        <f>SUMIFS('Drop Data Kasir'!$B:$B, 'Drop Data Kasir'!$A:$A, $A37, 'Drop Data Kasir'!$C:$C, AB$5)</f>
        <v>2</v>
      </c>
      <c r="AC37" s="18">
        <f>SUMIFS('Drop Data Kasir'!$B:$B, 'Drop Data Kasir'!$A:$A, $A37, 'Drop Data Kasir'!$C:$C, AC$5)</f>
        <v>6</v>
      </c>
      <c r="AD37" s="18">
        <f>SUMIFS('Drop Data Kasir'!$B:$B, 'Drop Data Kasir'!$A:$A, $A37, 'Drop Data Kasir'!$C:$C, AD$5)</f>
        <v>3</v>
      </c>
      <c r="AE37" s="18">
        <f>SUMIFS('Drop Data Kasir'!$B:$B, 'Drop Data Kasir'!$A:$A, $A37, 'Drop Data Kasir'!$C:$C, AE$5)</f>
        <v>3</v>
      </c>
      <c r="AF37" s="18">
        <f>SUMIFS('Drop Data Kasir'!$B:$B, 'Drop Data Kasir'!$A:$A, $A37, 'Drop Data Kasir'!$C:$C, AF$5)</f>
        <v>0</v>
      </c>
      <c r="AG37" s="18">
        <f>SUMIFS('Drop Data Kasir'!$B:$B, 'Drop Data Kasir'!$A:$A, $A37, 'Drop Data Kasir'!$C:$C, AG$5)</f>
        <v>0</v>
      </c>
    </row>
    <row r="38">
      <c r="A38" s="18" t="str">
        <f>IFERROR(__xludf.DUMMYFUNCTION("""COMPUTED_VALUE"""),"Claudio (Vanilla)")</f>
        <v>Claudio (Vanilla)</v>
      </c>
      <c r="B38" s="249">
        <f>IFERROR(__xludf.DUMMYFUNCTION("""COMPUTED_VALUE"""),26000.0)</f>
        <v>26000</v>
      </c>
      <c r="C38" s="7">
        <v>0.0</v>
      </c>
      <c r="D38" s="219">
        <v>0.0</v>
      </c>
      <c r="E38" s="18">
        <v>0.0</v>
      </c>
      <c r="F38" s="18">
        <v>0.0</v>
      </c>
      <c r="G38" s="18">
        <v>1.0</v>
      </c>
      <c r="H38" s="18">
        <v>0.0</v>
      </c>
      <c r="I38" s="18">
        <v>0.0</v>
      </c>
      <c r="J38" s="18">
        <v>0.0</v>
      </c>
      <c r="K38" s="18">
        <v>0.0</v>
      </c>
      <c r="L38" s="18">
        <v>0.0</v>
      </c>
      <c r="M38" s="18">
        <v>0.0</v>
      </c>
      <c r="N38" s="18">
        <v>0.0</v>
      </c>
      <c r="O38" s="18">
        <v>0.0</v>
      </c>
      <c r="P38" s="18">
        <v>0.0</v>
      </c>
      <c r="Q38" s="18">
        <v>0.0</v>
      </c>
      <c r="R38" s="18">
        <v>0.0</v>
      </c>
      <c r="S38" s="18">
        <v>0.0</v>
      </c>
      <c r="T38" s="18">
        <v>0.0</v>
      </c>
      <c r="U38" s="18">
        <v>0.0</v>
      </c>
      <c r="V38" s="18">
        <v>0.0</v>
      </c>
      <c r="W38" s="18">
        <v>0.0</v>
      </c>
      <c r="X38" s="18">
        <f>SUMIFS('Drop Data Kasir'!$B:$B, 'Drop Data Kasir'!$A:$A, $A38, 'Drop Data Kasir'!$C:$C, X$5)</f>
        <v>1</v>
      </c>
      <c r="Y38" s="18">
        <f>SUMIFS('Drop Data Kasir'!$B:$B, 'Drop Data Kasir'!$A:$A, $A38, 'Drop Data Kasir'!$C:$C, Y$5)</f>
        <v>0</v>
      </c>
      <c r="Z38" s="18">
        <f>SUMIFS('Drop Data Kasir'!$B:$B, 'Drop Data Kasir'!$A:$A, $A38, 'Drop Data Kasir'!$C:$C, Z$5)</f>
        <v>0</v>
      </c>
      <c r="AA38" s="18">
        <f>SUMIFS('Drop Data Kasir'!$B:$B, 'Drop Data Kasir'!$A:$A, $A38, 'Drop Data Kasir'!$C:$C, AA$5)</f>
        <v>1</v>
      </c>
      <c r="AB38" s="18">
        <f>SUMIFS('Drop Data Kasir'!$B:$B, 'Drop Data Kasir'!$A:$A, $A38, 'Drop Data Kasir'!$C:$C, AB$5)</f>
        <v>0</v>
      </c>
      <c r="AC38" s="18">
        <f>SUMIFS('Drop Data Kasir'!$B:$B, 'Drop Data Kasir'!$A:$A, $A38, 'Drop Data Kasir'!$C:$C, AC$5)</f>
        <v>0</v>
      </c>
      <c r="AD38" s="18">
        <f>SUMIFS('Drop Data Kasir'!$B:$B, 'Drop Data Kasir'!$A:$A, $A38, 'Drop Data Kasir'!$C:$C, AD$5)</f>
        <v>4</v>
      </c>
      <c r="AE38" s="18">
        <f>SUMIFS('Drop Data Kasir'!$B:$B, 'Drop Data Kasir'!$A:$A, $A38, 'Drop Data Kasir'!$C:$C, AE$5)</f>
        <v>0</v>
      </c>
      <c r="AF38" s="18">
        <f>SUMIFS('Drop Data Kasir'!$B:$B, 'Drop Data Kasir'!$A:$A, $A38, 'Drop Data Kasir'!$C:$C, AF$5)</f>
        <v>0</v>
      </c>
      <c r="AG38" s="18">
        <f>SUMIFS('Drop Data Kasir'!$B:$B, 'Drop Data Kasir'!$A:$A, $A38, 'Drop Data Kasir'!$C:$C, AG$5)</f>
        <v>0</v>
      </c>
    </row>
    <row r="39">
      <c r="A39" s="18" t="str">
        <f>IFERROR(__xludf.DUMMYFUNCTION("""COMPUTED_VALUE"""),"Ivada (Stroberi)")</f>
        <v>Ivada (Stroberi)</v>
      </c>
      <c r="B39" s="249">
        <f>IFERROR(__xludf.DUMMYFUNCTION("""COMPUTED_VALUE"""),26000.0)</f>
        <v>26000</v>
      </c>
      <c r="C39" s="7">
        <v>0.0</v>
      </c>
      <c r="D39" s="219">
        <v>0.0</v>
      </c>
      <c r="E39" s="18">
        <v>0.0</v>
      </c>
      <c r="F39" s="18">
        <v>0.0</v>
      </c>
      <c r="G39" s="18">
        <v>0.0</v>
      </c>
      <c r="H39" s="18">
        <v>0.0</v>
      </c>
      <c r="I39" s="18">
        <v>0.0</v>
      </c>
      <c r="J39" s="18">
        <v>0.0</v>
      </c>
      <c r="K39" s="18">
        <v>0.0</v>
      </c>
      <c r="L39" s="18">
        <v>0.0</v>
      </c>
      <c r="M39" s="18">
        <v>0.0</v>
      </c>
      <c r="N39" s="18">
        <v>0.0</v>
      </c>
      <c r="O39" s="18">
        <v>0.0</v>
      </c>
      <c r="P39" s="18">
        <v>0.0</v>
      </c>
      <c r="Q39" s="18">
        <v>0.0</v>
      </c>
      <c r="R39" s="18">
        <v>0.0</v>
      </c>
      <c r="S39" s="18">
        <v>0.0</v>
      </c>
      <c r="T39" s="18">
        <v>0.0</v>
      </c>
      <c r="U39" s="18">
        <v>0.0</v>
      </c>
      <c r="V39" s="18">
        <v>0.0</v>
      </c>
      <c r="W39" s="18">
        <v>0.0</v>
      </c>
      <c r="X39" s="18">
        <f>SUMIFS('Drop Data Kasir'!$B:$B, 'Drop Data Kasir'!$A:$A, $A39, 'Drop Data Kasir'!$C:$C, X$5)</f>
        <v>0</v>
      </c>
      <c r="Y39" s="18">
        <f>SUMIFS('Drop Data Kasir'!$B:$B, 'Drop Data Kasir'!$A:$A, $A39, 'Drop Data Kasir'!$C:$C, Y$5)</f>
        <v>0</v>
      </c>
      <c r="Z39" s="18">
        <f>SUMIFS('Drop Data Kasir'!$B:$B, 'Drop Data Kasir'!$A:$A, $A39, 'Drop Data Kasir'!$C:$C, Z$5)</f>
        <v>0</v>
      </c>
      <c r="AA39" s="18">
        <f>SUMIFS('Drop Data Kasir'!$B:$B, 'Drop Data Kasir'!$A:$A, $A39, 'Drop Data Kasir'!$C:$C, AA$5)</f>
        <v>0</v>
      </c>
      <c r="AB39" s="18">
        <f>SUMIFS('Drop Data Kasir'!$B:$B, 'Drop Data Kasir'!$A:$A, $A39, 'Drop Data Kasir'!$C:$C, AB$5)</f>
        <v>0</v>
      </c>
      <c r="AC39" s="18">
        <f>SUMIFS('Drop Data Kasir'!$B:$B, 'Drop Data Kasir'!$A:$A, $A39, 'Drop Data Kasir'!$C:$C, AC$5)</f>
        <v>0</v>
      </c>
      <c r="AD39" s="18">
        <f>SUMIFS('Drop Data Kasir'!$B:$B, 'Drop Data Kasir'!$A:$A, $A39, 'Drop Data Kasir'!$C:$C, AD$5)</f>
        <v>0</v>
      </c>
      <c r="AE39" s="18">
        <f>SUMIFS('Drop Data Kasir'!$B:$B, 'Drop Data Kasir'!$A:$A, $A39, 'Drop Data Kasir'!$C:$C, AE$5)</f>
        <v>0</v>
      </c>
      <c r="AF39" s="18">
        <f>SUMIFS('Drop Data Kasir'!$B:$B, 'Drop Data Kasir'!$A:$A, $A39, 'Drop Data Kasir'!$C:$C, AF$5)</f>
        <v>0</v>
      </c>
      <c r="AG39" s="18">
        <f>SUMIFS('Drop Data Kasir'!$B:$B, 'Drop Data Kasir'!$A:$A, $A39, 'Drop Data Kasir'!$C:$C, AG$5)</f>
        <v>0</v>
      </c>
    </row>
    <row r="40">
      <c r="A40" s="18" t="str">
        <f>IFERROR(__xludf.DUMMYFUNCTION("""COMPUTED_VALUE"""),"Vicenzo (Coklat)")</f>
        <v>Vicenzo (Coklat)</v>
      </c>
      <c r="B40" s="249">
        <f>IFERROR(__xludf.DUMMYFUNCTION("""COMPUTED_VALUE"""),26000.0)</f>
        <v>26000</v>
      </c>
      <c r="C40" s="7">
        <v>0.0</v>
      </c>
      <c r="D40" s="219">
        <v>0.0</v>
      </c>
      <c r="E40" s="18">
        <v>1.0</v>
      </c>
      <c r="F40" s="18">
        <v>0.0</v>
      </c>
      <c r="G40" s="18">
        <v>7.0</v>
      </c>
      <c r="H40" s="18">
        <v>0.0</v>
      </c>
      <c r="I40" s="18">
        <v>0.0</v>
      </c>
      <c r="J40" s="18">
        <v>0.0</v>
      </c>
      <c r="K40" s="18">
        <v>0.0</v>
      </c>
      <c r="L40" s="18">
        <v>0.0</v>
      </c>
      <c r="M40" s="18">
        <v>0.0</v>
      </c>
      <c r="N40" s="18">
        <v>0.0</v>
      </c>
      <c r="O40" s="18">
        <v>0.0</v>
      </c>
      <c r="P40" s="18">
        <v>0.0</v>
      </c>
      <c r="Q40" s="18">
        <v>0.0</v>
      </c>
      <c r="R40" s="18">
        <v>0.0</v>
      </c>
      <c r="S40" s="18">
        <v>0.0</v>
      </c>
      <c r="T40" s="18">
        <v>0.0</v>
      </c>
      <c r="U40" s="18">
        <v>0.0</v>
      </c>
      <c r="V40" s="18">
        <v>0.0</v>
      </c>
      <c r="W40" s="18">
        <v>0.0</v>
      </c>
      <c r="X40" s="18">
        <f>SUMIFS('Drop Data Kasir'!$B:$B, 'Drop Data Kasir'!$A:$A, $A40, 'Drop Data Kasir'!$C:$C, X$5)</f>
        <v>1</v>
      </c>
      <c r="Y40" s="18">
        <f>SUMIFS('Drop Data Kasir'!$B:$B, 'Drop Data Kasir'!$A:$A, $A40, 'Drop Data Kasir'!$C:$C, Y$5)</f>
        <v>0</v>
      </c>
      <c r="Z40" s="18">
        <f>SUMIFS('Drop Data Kasir'!$B:$B, 'Drop Data Kasir'!$A:$A, $A40, 'Drop Data Kasir'!$C:$C, Z$5)</f>
        <v>0</v>
      </c>
      <c r="AA40" s="18">
        <f>SUMIFS('Drop Data Kasir'!$B:$B, 'Drop Data Kasir'!$A:$A, $A40, 'Drop Data Kasir'!$C:$C, AA$5)</f>
        <v>0</v>
      </c>
      <c r="AB40" s="18">
        <f>SUMIFS('Drop Data Kasir'!$B:$B, 'Drop Data Kasir'!$A:$A, $A40, 'Drop Data Kasir'!$C:$C, AB$5)</f>
        <v>0</v>
      </c>
      <c r="AC40" s="18">
        <f>SUMIFS('Drop Data Kasir'!$B:$B, 'Drop Data Kasir'!$A:$A, $A40, 'Drop Data Kasir'!$C:$C, AC$5)</f>
        <v>0</v>
      </c>
      <c r="AD40" s="18">
        <f>SUMIFS('Drop Data Kasir'!$B:$B, 'Drop Data Kasir'!$A:$A, $A40, 'Drop Data Kasir'!$C:$C, AD$5)</f>
        <v>0</v>
      </c>
      <c r="AE40" s="18">
        <f>SUMIFS('Drop Data Kasir'!$B:$B, 'Drop Data Kasir'!$A:$A, $A40, 'Drop Data Kasir'!$C:$C, AE$5)</f>
        <v>0</v>
      </c>
      <c r="AF40" s="18">
        <f>SUMIFS('Drop Data Kasir'!$B:$B, 'Drop Data Kasir'!$A:$A, $A40, 'Drop Data Kasir'!$C:$C, AF$5)</f>
        <v>0</v>
      </c>
      <c r="AG40" s="18">
        <f>SUMIFS('Drop Data Kasir'!$B:$B, 'Drop Data Kasir'!$A:$A, $A40, 'Drop Data Kasir'!$C:$C, AG$5)</f>
        <v>0</v>
      </c>
    </row>
    <row r="41">
      <c r="A41" s="18" t="str">
        <f>IFERROR(__xludf.DUMMYFUNCTION("""COMPUTED_VALUE"""),"Capri ijz (Campur)")</f>
        <v>Capri ijz (Campur)</v>
      </c>
      <c r="B41" s="249">
        <f>IFERROR(__xludf.DUMMYFUNCTION("""COMPUTED_VALUE"""),26000.0)</f>
        <v>26000</v>
      </c>
      <c r="C41" s="7">
        <v>0.0</v>
      </c>
      <c r="D41" s="219">
        <v>0.0</v>
      </c>
      <c r="E41" s="18">
        <v>1.0</v>
      </c>
      <c r="F41" s="18">
        <v>0.0</v>
      </c>
      <c r="G41" s="18">
        <v>3.0</v>
      </c>
      <c r="H41" s="18">
        <v>1.0</v>
      </c>
      <c r="I41" s="18">
        <v>0.0</v>
      </c>
      <c r="J41" s="18">
        <v>0.0</v>
      </c>
      <c r="K41" s="18">
        <v>0.0</v>
      </c>
      <c r="L41" s="18">
        <v>0.0</v>
      </c>
      <c r="M41" s="18">
        <v>0.0</v>
      </c>
      <c r="N41" s="18">
        <v>0.0</v>
      </c>
      <c r="O41" s="18">
        <v>0.0</v>
      </c>
      <c r="P41" s="18">
        <v>0.0</v>
      </c>
      <c r="Q41" s="18">
        <v>0.0</v>
      </c>
      <c r="R41" s="18">
        <v>0.0</v>
      </c>
      <c r="S41" s="18">
        <v>0.0</v>
      </c>
      <c r="T41" s="18">
        <v>0.0</v>
      </c>
      <c r="U41" s="18">
        <v>0.0</v>
      </c>
      <c r="V41" s="18">
        <v>0.0</v>
      </c>
      <c r="W41" s="18">
        <v>0.0</v>
      </c>
      <c r="X41" s="18">
        <f>SUMIFS('Drop Data Kasir'!$B:$B, 'Drop Data Kasir'!$A:$A, $A41, 'Drop Data Kasir'!$C:$C, X$5)</f>
        <v>0</v>
      </c>
      <c r="Y41" s="18">
        <f>SUMIFS('Drop Data Kasir'!$B:$B, 'Drop Data Kasir'!$A:$A, $A41, 'Drop Data Kasir'!$C:$C, Y$5)</f>
        <v>0</v>
      </c>
      <c r="Z41" s="18">
        <f>SUMIFS('Drop Data Kasir'!$B:$B, 'Drop Data Kasir'!$A:$A, $A41, 'Drop Data Kasir'!$C:$C, Z$5)</f>
        <v>0</v>
      </c>
      <c r="AA41" s="18">
        <f>SUMIFS('Drop Data Kasir'!$B:$B, 'Drop Data Kasir'!$A:$A, $A41, 'Drop Data Kasir'!$C:$C, AA$5)</f>
        <v>0</v>
      </c>
      <c r="AB41" s="18">
        <f>SUMIFS('Drop Data Kasir'!$B:$B, 'Drop Data Kasir'!$A:$A, $A41, 'Drop Data Kasir'!$C:$C, AB$5)</f>
        <v>0</v>
      </c>
      <c r="AC41" s="18">
        <f>SUMIFS('Drop Data Kasir'!$B:$B, 'Drop Data Kasir'!$A:$A, $A41, 'Drop Data Kasir'!$C:$C, AC$5)</f>
        <v>0</v>
      </c>
      <c r="AD41" s="18">
        <f>SUMIFS('Drop Data Kasir'!$B:$B, 'Drop Data Kasir'!$A:$A, $A41, 'Drop Data Kasir'!$C:$C, AD$5)</f>
        <v>0</v>
      </c>
      <c r="AE41" s="18">
        <f>SUMIFS('Drop Data Kasir'!$B:$B, 'Drop Data Kasir'!$A:$A, $A41, 'Drop Data Kasir'!$C:$C, AE$5)</f>
        <v>1</v>
      </c>
      <c r="AF41" s="18">
        <f>SUMIFS('Drop Data Kasir'!$B:$B, 'Drop Data Kasir'!$A:$A, $A41, 'Drop Data Kasir'!$C:$C, AF$5)</f>
        <v>0</v>
      </c>
      <c r="AG41" s="18">
        <f>SUMIFS('Drop Data Kasir'!$B:$B, 'Drop Data Kasir'!$A:$A, $A41, 'Drop Data Kasir'!$C:$C, AG$5)</f>
        <v>0</v>
      </c>
    </row>
    <row r="42">
      <c r="A42" s="18" t="str">
        <f>IFERROR(__xludf.DUMMYFUNCTION("""COMPUTED_VALUE"""),"Sweety hazy")</f>
        <v>Sweety hazy</v>
      </c>
      <c r="B42" s="249">
        <f>IFERROR(__xludf.DUMMYFUNCTION("""COMPUTED_VALUE"""),29000.0)</f>
        <v>29000</v>
      </c>
      <c r="C42" s="18">
        <v>0.0</v>
      </c>
      <c r="D42" s="18">
        <v>0.0</v>
      </c>
      <c r="E42" s="18">
        <v>0.0</v>
      </c>
      <c r="F42" s="18">
        <v>0.0</v>
      </c>
      <c r="G42" s="18">
        <v>0.0</v>
      </c>
      <c r="H42" s="18">
        <v>0.0</v>
      </c>
      <c r="I42" s="18">
        <v>0.0</v>
      </c>
      <c r="J42" s="18">
        <v>0.0</v>
      </c>
      <c r="K42" s="18">
        <v>0.0</v>
      </c>
      <c r="L42" s="18">
        <v>0.0</v>
      </c>
      <c r="M42" s="18">
        <v>0.0</v>
      </c>
      <c r="N42" s="18">
        <v>0.0</v>
      </c>
      <c r="O42" s="18">
        <v>6.0</v>
      </c>
      <c r="P42" s="18">
        <v>4.0</v>
      </c>
      <c r="Q42" s="18">
        <v>4.0</v>
      </c>
      <c r="R42" s="18">
        <v>2.0</v>
      </c>
      <c r="S42" s="18">
        <v>12.0</v>
      </c>
      <c r="T42" s="18">
        <v>5.0</v>
      </c>
      <c r="U42" s="18">
        <v>1.0</v>
      </c>
      <c r="V42" s="18">
        <v>3.0</v>
      </c>
      <c r="W42" s="18">
        <v>1.0</v>
      </c>
      <c r="X42" s="18">
        <f>SUMIFS('Drop Data Kasir'!$B:$B, 'Drop Data Kasir'!$A:$A, $A42, 'Drop Data Kasir'!$C:$C, X$5)</f>
        <v>1</v>
      </c>
      <c r="Y42" s="18">
        <f>SUMIFS('Drop Data Kasir'!$B:$B, 'Drop Data Kasir'!$A:$A, $A42, 'Drop Data Kasir'!$C:$C, Y$5)</f>
        <v>2</v>
      </c>
      <c r="Z42" s="18">
        <f>SUMIFS('Drop Data Kasir'!$B:$B, 'Drop Data Kasir'!$A:$A, $A42, 'Drop Data Kasir'!$C:$C, Z$5)</f>
        <v>0</v>
      </c>
      <c r="AA42" s="18">
        <f>SUMIFS('Drop Data Kasir'!$B:$B, 'Drop Data Kasir'!$A:$A, $A42, 'Drop Data Kasir'!$C:$C, AA$5)</f>
        <v>1</v>
      </c>
      <c r="AB42" s="18">
        <f>SUMIFS('Drop Data Kasir'!$B:$B, 'Drop Data Kasir'!$A:$A, $A42, 'Drop Data Kasir'!$C:$C, AB$5)</f>
        <v>2</v>
      </c>
      <c r="AC42" s="18">
        <f>SUMIFS('Drop Data Kasir'!$B:$B, 'Drop Data Kasir'!$A:$A, $A42, 'Drop Data Kasir'!$C:$C, AC$5)</f>
        <v>5</v>
      </c>
      <c r="AD42" s="18">
        <f>SUMIFS('Drop Data Kasir'!$B:$B, 'Drop Data Kasir'!$A:$A, $A42, 'Drop Data Kasir'!$C:$C, AD$5)</f>
        <v>1</v>
      </c>
      <c r="AE42" s="18">
        <f>SUMIFS('Drop Data Kasir'!$B:$B, 'Drop Data Kasir'!$A:$A, $A42, 'Drop Data Kasir'!$C:$C, AE$5)</f>
        <v>1</v>
      </c>
      <c r="AF42" s="18">
        <f>SUMIFS('Drop Data Kasir'!$B:$B, 'Drop Data Kasir'!$A:$A, $A42, 'Drop Data Kasir'!$C:$C, AF$5)</f>
        <v>0</v>
      </c>
      <c r="AG42" s="18">
        <f>SUMIFS('Drop Data Kasir'!$B:$B, 'Drop Data Kasir'!$A:$A, $A42, 'Drop Data Kasir'!$C:$C, AG$5)</f>
        <v>0</v>
      </c>
    </row>
    <row r="43">
      <c r="A43" s="18" t="str">
        <f>IFERROR(__xludf.DUMMYFUNCTION("""COMPUTED_VALUE"""),"Cikalopi")</f>
        <v>Cikalopi</v>
      </c>
      <c r="B43" s="249">
        <f>IFERROR(__xludf.DUMMYFUNCTION("""COMPUTED_VALUE"""),33000.0)</f>
        <v>33000</v>
      </c>
      <c r="C43" s="18">
        <v>0.0</v>
      </c>
      <c r="D43" s="18">
        <v>0.0</v>
      </c>
      <c r="E43" s="18">
        <v>0.0</v>
      </c>
      <c r="F43" s="18">
        <v>0.0</v>
      </c>
      <c r="G43" s="18">
        <v>0.0</v>
      </c>
      <c r="H43" s="18">
        <v>0.0</v>
      </c>
      <c r="I43" s="18">
        <v>0.0</v>
      </c>
      <c r="J43" s="18">
        <v>0.0</v>
      </c>
      <c r="K43" s="18">
        <v>0.0</v>
      </c>
      <c r="L43" s="18">
        <v>0.0</v>
      </c>
      <c r="M43" s="18">
        <v>0.0</v>
      </c>
      <c r="N43" s="18">
        <v>0.0</v>
      </c>
      <c r="O43" s="18">
        <v>4.0</v>
      </c>
      <c r="P43" s="18">
        <v>1.0</v>
      </c>
      <c r="Q43" s="18">
        <v>1.0</v>
      </c>
      <c r="R43" s="18">
        <v>1.0</v>
      </c>
      <c r="S43" s="18">
        <v>2.0</v>
      </c>
      <c r="T43" s="18">
        <v>3.0</v>
      </c>
      <c r="U43" s="18">
        <v>1.0</v>
      </c>
      <c r="V43" s="18">
        <v>0.0</v>
      </c>
      <c r="W43" s="18">
        <v>2.0</v>
      </c>
      <c r="X43" s="18">
        <f>SUMIFS('Drop Data Kasir'!$B:$B, 'Drop Data Kasir'!$A:$A, $A43, 'Drop Data Kasir'!$C:$C, X$5)</f>
        <v>0</v>
      </c>
      <c r="Y43" s="18">
        <f>SUMIFS('Drop Data Kasir'!$B:$B, 'Drop Data Kasir'!$A:$A, $A43, 'Drop Data Kasir'!$C:$C, Y$5)</f>
        <v>0</v>
      </c>
      <c r="Z43" s="18">
        <f>SUMIFS('Drop Data Kasir'!$B:$B, 'Drop Data Kasir'!$A:$A, $A43, 'Drop Data Kasir'!$C:$C, Z$5)</f>
        <v>2</v>
      </c>
      <c r="AA43" s="18">
        <f>SUMIFS('Drop Data Kasir'!$B:$B, 'Drop Data Kasir'!$A:$A, $A43, 'Drop Data Kasir'!$C:$C, AA$5)</f>
        <v>0</v>
      </c>
      <c r="AB43" s="18">
        <f>SUMIFS('Drop Data Kasir'!$B:$B, 'Drop Data Kasir'!$A:$A, $A43, 'Drop Data Kasir'!$C:$C, AB$5)</f>
        <v>0</v>
      </c>
      <c r="AC43" s="18">
        <f>SUMIFS('Drop Data Kasir'!$B:$B, 'Drop Data Kasir'!$A:$A, $A43, 'Drop Data Kasir'!$C:$C, AC$5)</f>
        <v>5</v>
      </c>
      <c r="AD43" s="18">
        <f>SUMIFS('Drop Data Kasir'!$B:$B, 'Drop Data Kasir'!$A:$A, $A43, 'Drop Data Kasir'!$C:$C, AD$5)</f>
        <v>2</v>
      </c>
      <c r="AE43" s="18">
        <f>SUMIFS('Drop Data Kasir'!$B:$B, 'Drop Data Kasir'!$A:$A, $A43, 'Drop Data Kasir'!$C:$C, AE$5)</f>
        <v>3</v>
      </c>
      <c r="AF43" s="18">
        <f>SUMIFS('Drop Data Kasir'!$B:$B, 'Drop Data Kasir'!$A:$A, $A43, 'Drop Data Kasir'!$C:$C, AF$5)</f>
        <v>0</v>
      </c>
      <c r="AG43" s="18">
        <f>SUMIFS('Drop Data Kasir'!$B:$B, 'Drop Data Kasir'!$A:$A, $A43, 'Drop Data Kasir'!$C:$C, AG$5)</f>
        <v>0</v>
      </c>
    </row>
    <row r="44">
      <c r="A44" s="18" t="str">
        <f>IFERROR(__xludf.DUMMYFUNCTION("""COMPUTED_VALUE"""),"Cappucino")</f>
        <v>Cappucino</v>
      </c>
      <c r="B44" s="249">
        <f>IFERROR(__xludf.DUMMYFUNCTION("""COMPUTED_VALUE"""),25000.0)</f>
        <v>25000</v>
      </c>
      <c r="C44" s="7">
        <v>0.0</v>
      </c>
      <c r="D44" s="7">
        <v>0.0</v>
      </c>
      <c r="E44" s="7">
        <v>0.0</v>
      </c>
      <c r="F44" s="7">
        <v>0.0</v>
      </c>
      <c r="G44" s="7">
        <v>0.0</v>
      </c>
      <c r="H44" s="7">
        <v>0.0</v>
      </c>
      <c r="I44" s="7">
        <v>0.0</v>
      </c>
      <c r="J44" s="7">
        <v>0.0</v>
      </c>
      <c r="K44" s="7">
        <v>0.0</v>
      </c>
      <c r="L44" s="7">
        <v>0.0</v>
      </c>
      <c r="M44" s="7">
        <v>0.0</v>
      </c>
      <c r="N44" s="7">
        <v>0.0</v>
      </c>
      <c r="O44" s="7">
        <v>0.0</v>
      </c>
      <c r="P44" s="7">
        <v>0.0</v>
      </c>
      <c r="Q44" s="7">
        <v>0.0</v>
      </c>
      <c r="R44" s="7">
        <v>0.0</v>
      </c>
      <c r="S44" s="7">
        <v>0.0</v>
      </c>
      <c r="T44" s="7">
        <v>0.0</v>
      </c>
      <c r="U44" s="7">
        <v>0.0</v>
      </c>
      <c r="V44" s="7">
        <v>0.0</v>
      </c>
      <c r="W44" s="7">
        <v>0.0</v>
      </c>
      <c r="X44" s="18">
        <f>SUMIFS('Drop Data Kasir'!$B:$B, 'Drop Data Kasir'!$A:$A, $A44, 'Drop Data Kasir'!$C:$C, X$5)</f>
        <v>2</v>
      </c>
      <c r="Y44" s="18">
        <f>SUMIFS('Drop Data Kasir'!$B:$B, 'Drop Data Kasir'!$A:$A, $A44, 'Drop Data Kasir'!$C:$C, Y$5)</f>
        <v>3</v>
      </c>
      <c r="Z44" s="18">
        <f>SUMIFS('Drop Data Kasir'!$B:$B, 'Drop Data Kasir'!$A:$A, $A44, 'Drop Data Kasir'!$C:$C, Z$5)</f>
        <v>3</v>
      </c>
      <c r="AA44" s="18">
        <f>SUMIFS('Drop Data Kasir'!$B:$B, 'Drop Data Kasir'!$A:$A, $A44, 'Drop Data Kasir'!$C:$C, AA$5)</f>
        <v>1</v>
      </c>
      <c r="AB44" s="18">
        <f>SUMIFS('Drop Data Kasir'!$B:$B, 'Drop Data Kasir'!$A:$A, $A44, 'Drop Data Kasir'!$C:$C, AB$5)</f>
        <v>0</v>
      </c>
      <c r="AC44" s="18">
        <f>SUMIFS('Drop Data Kasir'!$B:$B, 'Drop Data Kasir'!$A:$A, $A44, 'Drop Data Kasir'!$C:$C, AC$5)</f>
        <v>5</v>
      </c>
      <c r="AD44" s="18">
        <f>SUMIFS('Drop Data Kasir'!$B:$B, 'Drop Data Kasir'!$A:$A, $A44, 'Drop Data Kasir'!$C:$C, AD$5)</f>
        <v>2</v>
      </c>
      <c r="AE44" s="18">
        <f>SUMIFS('Drop Data Kasir'!$B:$B, 'Drop Data Kasir'!$A:$A, $A44, 'Drop Data Kasir'!$C:$C, AE$5)</f>
        <v>4</v>
      </c>
      <c r="AF44" s="18">
        <f>SUMIFS('Drop Data Kasir'!$B:$B, 'Drop Data Kasir'!$A:$A, $A44, 'Drop Data Kasir'!$C:$C, AF$5)</f>
        <v>0</v>
      </c>
      <c r="AG44" s="18">
        <f>SUMIFS('Drop Data Kasir'!$B:$B, 'Drop Data Kasir'!$A:$A, $A44, 'Drop Data Kasir'!$C:$C, AG$5)</f>
        <v>0</v>
      </c>
    </row>
    <row r="45">
      <c r="A45" s="18" t="str">
        <f>IFERROR(__xludf.DUMMYFUNCTION("""COMPUTED_VALUE"""),"Aubergine Crunch")</f>
        <v>Aubergine Crunch</v>
      </c>
      <c r="B45" s="249">
        <f>IFERROR(__xludf.DUMMYFUNCTION("""COMPUTED_VALUE"""),22000.0)</f>
        <v>22000</v>
      </c>
      <c r="C45" s="7">
        <v>0.0</v>
      </c>
      <c r="D45" s="7">
        <v>0.0</v>
      </c>
      <c r="E45" s="7">
        <v>0.0</v>
      </c>
      <c r="F45" s="7">
        <v>0.0</v>
      </c>
      <c r="G45" s="7">
        <v>0.0</v>
      </c>
      <c r="H45" s="7">
        <v>0.0</v>
      </c>
      <c r="I45" s="7">
        <v>0.0</v>
      </c>
      <c r="J45" s="7">
        <v>0.0</v>
      </c>
      <c r="K45" s="7">
        <v>0.0</v>
      </c>
      <c r="L45" s="7">
        <v>0.0</v>
      </c>
      <c r="M45" s="7">
        <v>0.0</v>
      </c>
      <c r="N45" s="7">
        <v>0.0</v>
      </c>
      <c r="O45" s="7">
        <v>0.0</v>
      </c>
      <c r="P45" s="7">
        <v>0.0</v>
      </c>
      <c r="Q45" s="7">
        <v>0.0</v>
      </c>
      <c r="R45" s="7">
        <v>0.0</v>
      </c>
      <c r="S45" s="7">
        <v>0.0</v>
      </c>
      <c r="T45" s="7">
        <v>0.0</v>
      </c>
      <c r="U45" s="7">
        <v>0.0</v>
      </c>
      <c r="V45" s="7">
        <v>0.0</v>
      </c>
      <c r="W45" s="7">
        <v>0.0</v>
      </c>
      <c r="X45" s="18">
        <f>SUMIFS('Drop Data Kasir'!$B:$B, 'Drop Data Kasir'!$A:$A, $A45, 'Drop Data Kasir'!$C:$C, X$5)</f>
        <v>0</v>
      </c>
      <c r="Y45" s="18">
        <f>SUMIFS('Drop Data Kasir'!$B:$B, 'Drop Data Kasir'!$A:$A, $A45, 'Drop Data Kasir'!$C:$C, Y$5)</f>
        <v>0</v>
      </c>
      <c r="Z45" s="18">
        <f>SUMIFS('Drop Data Kasir'!$B:$B, 'Drop Data Kasir'!$A:$A, $A45, 'Drop Data Kasir'!$C:$C, Z$5)</f>
        <v>0</v>
      </c>
      <c r="AA45" s="18">
        <f>SUMIFS('Drop Data Kasir'!$B:$B, 'Drop Data Kasir'!$A:$A, $A45, 'Drop Data Kasir'!$C:$C, AA$5)</f>
        <v>0</v>
      </c>
      <c r="AB45" s="18">
        <f>SUMIFS('Drop Data Kasir'!$B:$B, 'Drop Data Kasir'!$A:$A, $A45, 'Drop Data Kasir'!$C:$C, AB$5)</f>
        <v>1</v>
      </c>
      <c r="AC45" s="18">
        <f>SUMIFS('Drop Data Kasir'!$B:$B, 'Drop Data Kasir'!$A:$A, $A45, 'Drop Data Kasir'!$C:$C, AC$5)</f>
        <v>1</v>
      </c>
      <c r="AD45" s="18">
        <f>SUMIFS('Drop Data Kasir'!$B:$B, 'Drop Data Kasir'!$A:$A, $A45, 'Drop Data Kasir'!$C:$C, AD$5)</f>
        <v>2</v>
      </c>
      <c r="AE45" s="18">
        <f>SUMIFS('Drop Data Kasir'!$B:$B, 'Drop Data Kasir'!$A:$A, $A45, 'Drop Data Kasir'!$C:$C, AE$5)</f>
        <v>1</v>
      </c>
      <c r="AF45" s="18">
        <f>SUMIFS('Drop Data Kasir'!$B:$B, 'Drop Data Kasir'!$A:$A, $A45, 'Drop Data Kasir'!$C:$C, AF$5)</f>
        <v>0</v>
      </c>
      <c r="AG45" s="18">
        <f>SUMIFS('Drop Data Kasir'!$B:$B, 'Drop Data Kasir'!$A:$A, $A45, 'Drop Data Kasir'!$C:$C, AG$5)</f>
        <v>0</v>
      </c>
    </row>
    <row r="46">
      <c r="A46" s="18" t="str">
        <f>IFERROR(__xludf.DUMMYFUNCTION("""COMPUTED_VALUE"""),"Special Barista")</f>
        <v>Special Barista</v>
      </c>
      <c r="B46" s="249">
        <f>IFERROR(__xludf.DUMMYFUNCTION("""COMPUTED_VALUE"""),99000.0)</f>
        <v>99000</v>
      </c>
      <c r="C46" s="7">
        <v>0.0</v>
      </c>
      <c r="D46" s="7">
        <v>0.0</v>
      </c>
      <c r="E46" s="7">
        <v>0.0</v>
      </c>
      <c r="F46" s="7">
        <v>0.0</v>
      </c>
      <c r="G46" s="7">
        <v>0.0</v>
      </c>
      <c r="H46" s="7">
        <v>0.0</v>
      </c>
      <c r="I46" s="7">
        <v>0.0</v>
      </c>
      <c r="J46" s="7">
        <v>0.0</v>
      </c>
      <c r="K46" s="7">
        <v>0.0</v>
      </c>
      <c r="L46" s="7">
        <v>0.0</v>
      </c>
      <c r="M46" s="7">
        <v>0.0</v>
      </c>
      <c r="N46" s="7">
        <v>0.0</v>
      </c>
      <c r="O46" s="7">
        <v>0.0</v>
      </c>
      <c r="P46" s="7">
        <v>0.0</v>
      </c>
      <c r="Q46" s="7">
        <v>0.0</v>
      </c>
      <c r="R46" s="7">
        <v>0.0</v>
      </c>
      <c r="S46" s="7">
        <v>0.0</v>
      </c>
      <c r="T46" s="7">
        <v>0.0</v>
      </c>
      <c r="U46" s="7">
        <v>0.0</v>
      </c>
      <c r="V46" s="7">
        <v>0.0</v>
      </c>
      <c r="W46" s="7">
        <v>0.0</v>
      </c>
      <c r="X46" s="18">
        <f>SUMIFS('Drop Data Kasir'!$B:$B, 'Drop Data Kasir'!$A:$A, $A46, 'Drop Data Kasir'!$C:$C, X$5)</f>
        <v>0</v>
      </c>
      <c r="Y46" s="18">
        <f>SUMIFS('Drop Data Kasir'!$B:$B, 'Drop Data Kasir'!$A:$A, $A46, 'Drop Data Kasir'!$C:$C, Y$5)</f>
        <v>0</v>
      </c>
      <c r="Z46" s="18">
        <f>SUMIFS('Drop Data Kasir'!$B:$B, 'Drop Data Kasir'!$A:$A, $A46, 'Drop Data Kasir'!$C:$C, Z$5)</f>
        <v>0</v>
      </c>
      <c r="AA46" s="18">
        <f>SUMIFS('Drop Data Kasir'!$B:$B, 'Drop Data Kasir'!$A:$A, $A46, 'Drop Data Kasir'!$C:$C, AA$5)</f>
        <v>0</v>
      </c>
      <c r="AB46" s="18">
        <f>SUMIFS('Drop Data Kasir'!$B:$B, 'Drop Data Kasir'!$A:$A, $A46, 'Drop Data Kasir'!$C:$C, AB$5)</f>
        <v>0</v>
      </c>
      <c r="AC46" s="18">
        <f>SUMIFS('Drop Data Kasir'!$B:$B, 'Drop Data Kasir'!$A:$A, $A46, 'Drop Data Kasir'!$C:$C, AC$5)</f>
        <v>1</v>
      </c>
      <c r="AD46" s="18">
        <f>SUMIFS('Drop Data Kasir'!$B:$B, 'Drop Data Kasir'!$A:$A, $A46, 'Drop Data Kasir'!$C:$C, AD$5)</f>
        <v>1</v>
      </c>
      <c r="AE46" s="18">
        <f>SUMIFS('Drop Data Kasir'!$B:$B, 'Drop Data Kasir'!$A:$A, $A46, 'Drop Data Kasir'!$C:$C, AE$5)</f>
        <v>0</v>
      </c>
      <c r="AF46" s="18">
        <f>SUMIFS('Drop Data Kasir'!$B:$B, 'Drop Data Kasir'!$A:$A, $A46, 'Drop Data Kasir'!$C:$C, AF$5)</f>
        <v>0</v>
      </c>
      <c r="AG46" s="18">
        <f>SUMIFS('Drop Data Kasir'!$B:$B, 'Drop Data Kasir'!$A:$A, $A46, 'Drop Data Kasir'!$C:$C, AG$5)</f>
        <v>0</v>
      </c>
    </row>
    <row r="47">
      <c r="A47" s="18" t="str">
        <f>IFERROR(__xludf.DUMMYFUNCTION("""COMPUTED_VALUE"""),"Tela Landa")</f>
        <v>Tela Landa</v>
      </c>
      <c r="B47" s="249">
        <f>IFERROR(__xludf.DUMMYFUNCTION("""COMPUTED_VALUE"""),13000.0)</f>
        <v>13000</v>
      </c>
      <c r="C47" s="7">
        <v>0.0</v>
      </c>
      <c r="D47" s="7">
        <v>0.0</v>
      </c>
      <c r="E47" s="7">
        <v>0.0</v>
      </c>
      <c r="F47" s="7">
        <v>0.0</v>
      </c>
      <c r="G47" s="7">
        <v>0.0</v>
      </c>
      <c r="H47" s="7">
        <v>0.0</v>
      </c>
      <c r="I47" s="7">
        <v>0.0</v>
      </c>
      <c r="J47" s="7">
        <v>0.0</v>
      </c>
      <c r="K47" s="7">
        <v>0.0</v>
      </c>
      <c r="L47" s="7">
        <v>0.0</v>
      </c>
      <c r="M47" s="7">
        <v>0.0</v>
      </c>
      <c r="N47" s="7">
        <v>0.0</v>
      </c>
      <c r="O47" s="7">
        <v>0.0</v>
      </c>
      <c r="P47" s="7">
        <v>0.0</v>
      </c>
      <c r="Q47" s="7">
        <v>0.0</v>
      </c>
      <c r="R47" s="7">
        <v>0.0</v>
      </c>
      <c r="S47" s="7">
        <v>0.0</v>
      </c>
      <c r="T47" s="7">
        <v>0.0</v>
      </c>
      <c r="U47" s="7">
        <v>0.0</v>
      </c>
      <c r="V47" s="7">
        <v>0.0</v>
      </c>
      <c r="W47" s="7">
        <v>0.0</v>
      </c>
      <c r="X47" s="18">
        <f>SUMIFS('Drop Data Kasir'!$B:$B, 'Drop Data Kasir'!$A:$A, $A47, 'Drop Data Kasir'!$C:$C, X$5)</f>
        <v>0</v>
      </c>
      <c r="Y47" s="18">
        <f>SUMIFS('Drop Data Kasir'!$B:$B, 'Drop Data Kasir'!$A:$A, $A47, 'Drop Data Kasir'!$C:$C, Y$5)</f>
        <v>1</v>
      </c>
      <c r="Z47" s="18">
        <f>SUMIFS('Drop Data Kasir'!$B:$B, 'Drop Data Kasir'!$A:$A, $A47, 'Drop Data Kasir'!$C:$C, Z$5)</f>
        <v>2</v>
      </c>
      <c r="AA47" s="18">
        <f>SUMIFS('Drop Data Kasir'!$B:$B, 'Drop Data Kasir'!$A:$A, $A47, 'Drop Data Kasir'!$C:$C, AA$5)</f>
        <v>1</v>
      </c>
      <c r="AB47" s="18">
        <f>SUMIFS('Drop Data Kasir'!$B:$B, 'Drop Data Kasir'!$A:$A, $A47, 'Drop Data Kasir'!$C:$C, AB$5)</f>
        <v>0</v>
      </c>
      <c r="AC47" s="18">
        <f>SUMIFS('Drop Data Kasir'!$B:$B, 'Drop Data Kasir'!$A:$A, $A47, 'Drop Data Kasir'!$C:$C, AC$5)</f>
        <v>1</v>
      </c>
      <c r="AD47" s="18">
        <f>SUMIFS('Drop Data Kasir'!$B:$B, 'Drop Data Kasir'!$A:$A, $A47, 'Drop Data Kasir'!$C:$C, AD$5)</f>
        <v>2</v>
      </c>
      <c r="AE47" s="18">
        <f>SUMIFS('Drop Data Kasir'!$B:$B, 'Drop Data Kasir'!$A:$A, $A47, 'Drop Data Kasir'!$C:$C, AE$5)</f>
        <v>2</v>
      </c>
      <c r="AF47" s="18">
        <f>SUMIFS('Drop Data Kasir'!$B:$B, 'Drop Data Kasir'!$A:$A, $A47, 'Drop Data Kasir'!$C:$C, AF$5)</f>
        <v>0</v>
      </c>
      <c r="AG47" s="18">
        <f>SUMIFS('Drop Data Kasir'!$B:$B, 'Drop Data Kasir'!$A:$A, $A47, 'Drop Data Kasir'!$C:$C, AG$5)</f>
        <v>0</v>
      </c>
    </row>
    <row r="48">
      <c r="A48" s="18" t="str">
        <f>IFERROR(__xludf.DUMMYFUNCTION("""COMPUTED_VALUE"""),"Kopi Kakek")</f>
        <v>Kopi Kakek</v>
      </c>
      <c r="B48" s="249">
        <f>IFERROR(__xludf.DUMMYFUNCTION("""COMPUTED_VALUE"""),10000.0)</f>
        <v>10000</v>
      </c>
      <c r="C48" s="7">
        <v>0.0</v>
      </c>
      <c r="D48" s="7">
        <v>0.0</v>
      </c>
      <c r="E48" s="7">
        <v>0.0</v>
      </c>
      <c r="F48" s="7">
        <v>0.0</v>
      </c>
      <c r="G48" s="7">
        <v>0.0</v>
      </c>
      <c r="H48" s="7">
        <v>0.0</v>
      </c>
      <c r="I48" s="7">
        <v>0.0</v>
      </c>
      <c r="J48" s="7">
        <v>0.0</v>
      </c>
      <c r="K48" s="7">
        <v>0.0</v>
      </c>
      <c r="L48" s="7">
        <v>0.0</v>
      </c>
      <c r="M48" s="7">
        <v>0.0</v>
      </c>
      <c r="N48" s="7">
        <v>0.0</v>
      </c>
      <c r="O48" s="7">
        <v>0.0</v>
      </c>
      <c r="P48" s="7">
        <v>0.0</v>
      </c>
      <c r="Q48" s="7">
        <v>0.0</v>
      </c>
      <c r="R48" s="7">
        <v>0.0</v>
      </c>
      <c r="S48" s="7">
        <v>0.0</v>
      </c>
      <c r="T48" s="7">
        <v>0.0</v>
      </c>
      <c r="U48" s="7">
        <v>0.0</v>
      </c>
      <c r="V48" s="7">
        <v>0.0</v>
      </c>
      <c r="W48" s="7">
        <v>0.0</v>
      </c>
      <c r="X48" s="18">
        <f>SUMIFS('Drop Data Kasir'!$B:$B, 'Drop Data Kasir'!$A:$A, $A48, 'Drop Data Kasir'!$C:$C, X$5)</f>
        <v>5</v>
      </c>
      <c r="Y48" s="18">
        <f>SUMIFS('Drop Data Kasir'!$B:$B, 'Drop Data Kasir'!$A:$A, $A48, 'Drop Data Kasir'!$C:$C, Y$5)</f>
        <v>0</v>
      </c>
      <c r="Z48" s="18">
        <f>SUMIFS('Drop Data Kasir'!$B:$B, 'Drop Data Kasir'!$A:$A, $A48, 'Drop Data Kasir'!$C:$C, Z$5)</f>
        <v>0</v>
      </c>
      <c r="AA48" s="18">
        <f>SUMIFS('Drop Data Kasir'!$B:$B, 'Drop Data Kasir'!$A:$A, $A48, 'Drop Data Kasir'!$C:$C, AA$5)</f>
        <v>5</v>
      </c>
      <c r="AB48" s="18">
        <f>SUMIFS('Drop Data Kasir'!$B:$B, 'Drop Data Kasir'!$A:$A, $A48, 'Drop Data Kasir'!$C:$C, AB$5)</f>
        <v>1</v>
      </c>
      <c r="AC48" s="18">
        <f>SUMIFS('Drop Data Kasir'!$B:$B, 'Drop Data Kasir'!$A:$A, $A48, 'Drop Data Kasir'!$C:$C, AC$5)</f>
        <v>5</v>
      </c>
      <c r="AD48" s="18">
        <f>SUMIFS('Drop Data Kasir'!$B:$B, 'Drop Data Kasir'!$A:$A, $A48, 'Drop Data Kasir'!$C:$C, AD$5)</f>
        <v>6</v>
      </c>
      <c r="AE48" s="18">
        <f>SUMIFS('Drop Data Kasir'!$B:$B, 'Drop Data Kasir'!$A:$A, $A48, 'Drop Data Kasir'!$C:$C, AE$5)</f>
        <v>2</v>
      </c>
      <c r="AF48" s="18">
        <f>SUMIFS('Drop Data Kasir'!$B:$B, 'Drop Data Kasir'!$A:$A, $A48, 'Drop Data Kasir'!$C:$C, AF$5)</f>
        <v>0</v>
      </c>
      <c r="AG48" s="18">
        <f>SUMIFS('Drop Data Kasir'!$B:$B, 'Drop Data Kasir'!$A:$A, $A48, 'Drop Data Kasir'!$C:$C, AG$5)</f>
        <v>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3.38"/>
  </cols>
  <sheetData>
    <row r="1">
      <c r="A1" s="221" t="s">
        <v>9</v>
      </c>
      <c r="B1" s="221" t="s">
        <v>220</v>
      </c>
      <c r="C1" s="192" t="s">
        <v>3</v>
      </c>
      <c r="D1" s="2"/>
    </row>
    <row r="2">
      <c r="A2" s="7" t="s">
        <v>32</v>
      </c>
      <c r="B2" s="7">
        <v>7.0</v>
      </c>
      <c r="C2" s="222">
        <v>46266.0</v>
      </c>
    </row>
    <row r="3">
      <c r="A3" s="7" t="s">
        <v>16</v>
      </c>
      <c r="B3" s="7">
        <v>5.0</v>
      </c>
      <c r="C3" s="222">
        <v>46266.0</v>
      </c>
    </row>
    <row r="4">
      <c r="A4" s="7" t="s">
        <v>18</v>
      </c>
      <c r="B4" s="7">
        <v>4.0</v>
      </c>
      <c r="C4" s="222">
        <v>46266.0</v>
      </c>
    </row>
    <row r="5">
      <c r="A5" s="7" t="s">
        <v>25</v>
      </c>
      <c r="B5" s="7">
        <v>3.0</v>
      </c>
      <c r="C5" s="222">
        <v>46266.0</v>
      </c>
    </row>
    <row r="6">
      <c r="A6" s="7" t="s">
        <v>49</v>
      </c>
      <c r="B6" s="7">
        <v>3.0</v>
      </c>
      <c r="C6" s="222">
        <v>46266.0</v>
      </c>
    </row>
    <row r="7">
      <c r="A7" s="7" t="s">
        <v>221</v>
      </c>
      <c r="B7" s="7">
        <v>2.0</v>
      </c>
      <c r="C7" s="222">
        <v>46266.0</v>
      </c>
    </row>
    <row r="8">
      <c r="A8" s="7" t="s">
        <v>222</v>
      </c>
      <c r="B8" s="7">
        <v>2.0</v>
      </c>
      <c r="C8" s="222">
        <v>46266.0</v>
      </c>
    </row>
    <row r="9">
      <c r="A9" s="7" t="s">
        <v>108</v>
      </c>
      <c r="B9" s="7">
        <v>2.0</v>
      </c>
      <c r="C9" s="222">
        <v>46266.0</v>
      </c>
    </row>
    <row r="10">
      <c r="A10" s="7" t="s">
        <v>55</v>
      </c>
      <c r="B10" s="7">
        <v>2.0</v>
      </c>
      <c r="C10" s="222">
        <v>46266.0</v>
      </c>
    </row>
    <row r="11">
      <c r="A11" s="7" t="s">
        <v>26</v>
      </c>
      <c r="B11" s="7">
        <v>1.0</v>
      </c>
      <c r="C11" s="222">
        <v>46266.0</v>
      </c>
    </row>
    <row r="12">
      <c r="A12" s="7" t="s">
        <v>223</v>
      </c>
      <c r="B12" s="7">
        <v>1.0</v>
      </c>
      <c r="C12" s="222">
        <v>46266.0</v>
      </c>
    </row>
    <row r="13">
      <c r="A13" s="7" t="s">
        <v>59</v>
      </c>
      <c r="B13" s="7">
        <v>1.0</v>
      </c>
      <c r="C13" s="222">
        <v>46266.0</v>
      </c>
    </row>
    <row r="14">
      <c r="A14" s="7" t="s">
        <v>224</v>
      </c>
      <c r="B14" s="7">
        <v>1.0</v>
      </c>
      <c r="C14" s="222">
        <v>46266.0</v>
      </c>
    </row>
    <row r="15">
      <c r="A15" s="7" t="s">
        <v>71</v>
      </c>
      <c r="B15" s="7">
        <v>1.0</v>
      </c>
      <c r="C15" s="222">
        <v>46266.0</v>
      </c>
    </row>
    <row r="16">
      <c r="A16" s="7" t="s">
        <v>14</v>
      </c>
      <c r="B16" s="7">
        <v>1.0</v>
      </c>
      <c r="C16" s="222">
        <v>46266.0</v>
      </c>
    </row>
    <row r="17">
      <c r="A17" s="7" t="s">
        <v>24</v>
      </c>
      <c r="B17" s="7">
        <v>1.0</v>
      </c>
      <c r="C17" s="222">
        <v>46266.0</v>
      </c>
    </row>
    <row r="18">
      <c r="A18" s="7" t="s">
        <v>105</v>
      </c>
      <c r="B18" s="7">
        <v>1.0</v>
      </c>
      <c r="C18" s="222">
        <v>46266.0</v>
      </c>
    </row>
    <row r="19">
      <c r="A19" s="7" t="s">
        <v>65</v>
      </c>
      <c r="B19" s="7">
        <v>1.0</v>
      </c>
      <c r="C19" s="222">
        <v>46266.0</v>
      </c>
    </row>
    <row r="20">
      <c r="A20" s="7" t="s">
        <v>67</v>
      </c>
      <c r="B20" s="7">
        <v>1.0</v>
      </c>
      <c r="C20" s="222">
        <v>46266.0</v>
      </c>
    </row>
    <row r="21">
      <c r="A21" s="7" t="s">
        <v>69</v>
      </c>
      <c r="B21" s="7">
        <v>1.0</v>
      </c>
      <c r="C21" s="222">
        <v>46266.0</v>
      </c>
    </row>
    <row r="22">
      <c r="A22" s="7"/>
      <c r="B22" s="7"/>
      <c r="C22" s="222"/>
    </row>
    <row r="23">
      <c r="A23" s="7" t="s">
        <v>14</v>
      </c>
      <c r="B23" s="7">
        <v>7.0</v>
      </c>
      <c r="C23" s="222">
        <v>46267.0</v>
      </c>
    </row>
    <row r="24">
      <c r="A24" s="7" t="s">
        <v>124</v>
      </c>
      <c r="B24" s="7">
        <v>5.0</v>
      </c>
      <c r="C24" s="222">
        <v>46267.0</v>
      </c>
    </row>
    <row r="25">
      <c r="A25" s="7" t="s">
        <v>20</v>
      </c>
      <c r="B25" s="7">
        <v>3.0</v>
      </c>
      <c r="C25" s="222">
        <v>46267.0</v>
      </c>
    </row>
    <row r="26">
      <c r="A26" s="7" t="s">
        <v>24</v>
      </c>
      <c r="B26" s="7">
        <v>3.0</v>
      </c>
      <c r="C26" s="222">
        <v>46267.0</v>
      </c>
    </row>
    <row r="27">
      <c r="A27" s="7" t="s">
        <v>34</v>
      </c>
      <c r="B27" s="7">
        <v>3.0</v>
      </c>
      <c r="C27" s="222">
        <v>46267.0</v>
      </c>
    </row>
    <row r="28">
      <c r="A28" s="7" t="s">
        <v>111</v>
      </c>
      <c r="B28" s="7">
        <v>2.0</v>
      </c>
      <c r="C28" s="222">
        <v>46267.0</v>
      </c>
    </row>
    <row r="29">
      <c r="A29" s="7" t="s">
        <v>222</v>
      </c>
      <c r="B29" s="7">
        <v>2.0</v>
      </c>
      <c r="C29" s="222">
        <v>46267.0</v>
      </c>
    </row>
    <row r="30">
      <c r="A30" s="7" t="s">
        <v>18</v>
      </c>
      <c r="B30" s="7">
        <v>2.0</v>
      </c>
      <c r="C30" s="222">
        <v>46267.0</v>
      </c>
    </row>
    <row r="31">
      <c r="A31" s="7" t="s">
        <v>225</v>
      </c>
      <c r="B31" s="7">
        <v>2.0</v>
      </c>
      <c r="C31" s="222">
        <v>46267.0</v>
      </c>
    </row>
    <row r="32">
      <c r="A32" s="7" t="s">
        <v>30</v>
      </c>
      <c r="B32" s="7">
        <v>2.0</v>
      </c>
      <c r="C32" s="222">
        <v>46267.0</v>
      </c>
    </row>
    <row r="33">
      <c r="A33" s="7" t="s">
        <v>32</v>
      </c>
      <c r="B33" s="7">
        <v>1.0</v>
      </c>
      <c r="C33" s="222">
        <v>46267.0</v>
      </c>
    </row>
    <row r="34">
      <c r="A34" s="7" t="s">
        <v>25</v>
      </c>
      <c r="B34" s="7">
        <v>1.0</v>
      </c>
      <c r="C34" s="222">
        <v>46267.0</v>
      </c>
    </row>
    <row r="35">
      <c r="A35" s="7" t="s">
        <v>226</v>
      </c>
      <c r="B35" s="7">
        <v>1.0</v>
      </c>
      <c r="C35" s="222">
        <v>46267.0</v>
      </c>
    </row>
    <row r="36">
      <c r="A36" s="7" t="s">
        <v>49</v>
      </c>
      <c r="B36" s="7">
        <v>1.0</v>
      </c>
      <c r="C36" s="222">
        <v>46267.0</v>
      </c>
    </row>
    <row r="37">
      <c r="A37" s="7" t="s">
        <v>21</v>
      </c>
      <c r="B37" s="7">
        <v>1.0</v>
      </c>
      <c r="C37" s="222">
        <v>46267.0</v>
      </c>
    </row>
    <row r="38">
      <c r="A38" s="7" t="s">
        <v>16</v>
      </c>
      <c r="B38" s="7">
        <v>1.0</v>
      </c>
      <c r="C38" s="222">
        <v>46267.0</v>
      </c>
    </row>
    <row r="39">
      <c r="A39" s="7" t="s">
        <v>59</v>
      </c>
      <c r="B39" s="7">
        <v>1.0</v>
      </c>
      <c r="C39" s="222">
        <v>46267.0</v>
      </c>
    </row>
    <row r="40">
      <c r="A40" s="7" t="s">
        <v>37</v>
      </c>
      <c r="B40" s="7">
        <v>1.0</v>
      </c>
      <c r="C40" s="222">
        <v>46267.0</v>
      </c>
    </row>
    <row r="41">
      <c r="A41" s="7" t="s">
        <v>105</v>
      </c>
      <c r="B41" s="7">
        <v>1.0</v>
      </c>
      <c r="C41" s="222">
        <v>46267.0</v>
      </c>
    </row>
    <row r="42">
      <c r="A42" s="7" t="s">
        <v>65</v>
      </c>
      <c r="B42" s="7">
        <v>1.0</v>
      </c>
      <c r="C42" s="222">
        <v>46267.0</v>
      </c>
    </row>
    <row r="43">
      <c r="A43" s="7" t="s">
        <v>69</v>
      </c>
      <c r="B43" s="7">
        <v>1.0</v>
      </c>
      <c r="C43" s="222">
        <v>46267.0</v>
      </c>
    </row>
    <row r="44">
      <c r="A44" s="7" t="s">
        <v>227</v>
      </c>
      <c r="B44" s="7">
        <v>1.0</v>
      </c>
      <c r="C44" s="222">
        <v>46267.0</v>
      </c>
    </row>
    <row r="46">
      <c r="A46" s="7" t="s">
        <v>32</v>
      </c>
      <c r="B46" s="7">
        <v>8.0</v>
      </c>
      <c r="C46" s="222">
        <v>46268.0</v>
      </c>
    </row>
    <row r="47">
      <c r="A47" s="7" t="s">
        <v>14</v>
      </c>
      <c r="B47" s="7">
        <v>4.0</v>
      </c>
      <c r="C47" s="222">
        <v>46268.0</v>
      </c>
    </row>
    <row r="48">
      <c r="A48" s="7" t="s">
        <v>111</v>
      </c>
      <c r="B48" s="7">
        <v>3.0</v>
      </c>
      <c r="C48" s="222">
        <v>46268.0</v>
      </c>
    </row>
    <row r="49">
      <c r="A49" s="7" t="s">
        <v>20</v>
      </c>
      <c r="B49" s="7">
        <v>3.0</v>
      </c>
      <c r="C49" s="222">
        <v>46268.0</v>
      </c>
    </row>
    <row r="50">
      <c r="A50" s="7" t="s">
        <v>222</v>
      </c>
      <c r="B50" s="7">
        <v>2.0</v>
      </c>
      <c r="C50" s="222">
        <v>46268.0</v>
      </c>
    </row>
    <row r="51">
      <c r="A51" s="7" t="s">
        <v>16</v>
      </c>
      <c r="B51" s="7">
        <v>2.0</v>
      </c>
      <c r="C51" s="222">
        <v>46268.0</v>
      </c>
    </row>
    <row r="52">
      <c r="A52" s="7" t="s">
        <v>105</v>
      </c>
      <c r="B52" s="7">
        <v>2.0</v>
      </c>
      <c r="C52" s="222">
        <v>46268.0</v>
      </c>
    </row>
    <row r="53">
      <c r="A53" s="7" t="s">
        <v>25</v>
      </c>
      <c r="B53" s="7">
        <v>1.0</v>
      </c>
      <c r="C53" s="222">
        <v>46268.0</v>
      </c>
    </row>
    <row r="54">
      <c r="A54" s="7" t="s">
        <v>49</v>
      </c>
      <c r="B54" s="7">
        <v>1.0</v>
      </c>
      <c r="C54" s="222">
        <v>46268.0</v>
      </c>
    </row>
    <row r="55">
      <c r="A55" s="7" t="s">
        <v>18</v>
      </c>
      <c r="B55" s="7">
        <v>1.0</v>
      </c>
      <c r="C55" s="222">
        <v>46268.0</v>
      </c>
    </row>
    <row r="56">
      <c r="A56" s="7" t="s">
        <v>21</v>
      </c>
      <c r="B56" s="7">
        <v>1.0</v>
      </c>
      <c r="C56" s="222">
        <v>46268.0</v>
      </c>
    </row>
    <row r="57">
      <c r="A57" s="7" t="s">
        <v>28</v>
      </c>
      <c r="B57" s="7">
        <v>1.0</v>
      </c>
      <c r="C57" s="222">
        <v>46268.0</v>
      </c>
    </row>
    <row r="58">
      <c r="A58" s="7" t="s">
        <v>71</v>
      </c>
      <c r="B58" s="7">
        <v>1.0</v>
      </c>
      <c r="C58" s="222">
        <v>46268.0</v>
      </c>
    </row>
    <row r="59">
      <c r="A59" s="7" t="s">
        <v>228</v>
      </c>
      <c r="B59" s="7">
        <v>1.0</v>
      </c>
      <c r="C59" s="222">
        <v>46268.0</v>
      </c>
    </row>
    <row r="60">
      <c r="A60" s="7" t="s">
        <v>65</v>
      </c>
      <c r="B60" s="7">
        <v>1.0</v>
      </c>
      <c r="C60" s="222">
        <v>46268.0</v>
      </c>
    </row>
    <row r="62">
      <c r="A62" s="7" t="s">
        <v>14</v>
      </c>
      <c r="B62" s="7">
        <v>10.0</v>
      </c>
      <c r="C62" s="222">
        <v>46269.0</v>
      </c>
    </row>
    <row r="63">
      <c r="A63" s="7" t="s">
        <v>20</v>
      </c>
      <c r="B63" s="7">
        <v>6.0</v>
      </c>
      <c r="C63" s="222">
        <v>46269.0</v>
      </c>
    </row>
    <row r="64">
      <c r="A64" s="7" t="s">
        <v>25</v>
      </c>
      <c r="B64" s="7">
        <v>3.0</v>
      </c>
      <c r="C64" s="222">
        <v>46269.0</v>
      </c>
    </row>
    <row r="65">
      <c r="A65" s="7" t="s">
        <v>111</v>
      </c>
      <c r="B65" s="7">
        <v>3.0</v>
      </c>
      <c r="C65" s="222">
        <v>46269.0</v>
      </c>
    </row>
    <row r="66">
      <c r="A66" s="7" t="s">
        <v>222</v>
      </c>
      <c r="B66" s="7">
        <v>2.0</v>
      </c>
      <c r="C66" s="222">
        <v>46269.0</v>
      </c>
    </row>
    <row r="67">
      <c r="A67" s="7" t="s">
        <v>108</v>
      </c>
      <c r="B67" s="7">
        <v>2.0</v>
      </c>
      <c r="C67" s="222">
        <v>46269.0</v>
      </c>
    </row>
    <row r="68">
      <c r="A68" s="7" t="s">
        <v>18</v>
      </c>
      <c r="B68" s="7">
        <v>2.0</v>
      </c>
      <c r="C68" s="222">
        <v>46269.0</v>
      </c>
    </row>
    <row r="69">
      <c r="A69" s="7" t="s">
        <v>21</v>
      </c>
      <c r="B69" s="7">
        <v>2.0</v>
      </c>
      <c r="C69" s="222">
        <v>46269.0</v>
      </c>
    </row>
    <row r="70">
      <c r="A70" s="7" t="s">
        <v>228</v>
      </c>
      <c r="B70" s="7">
        <v>2.0</v>
      </c>
      <c r="C70" s="222">
        <v>46269.0</v>
      </c>
    </row>
    <row r="71">
      <c r="A71" s="7" t="s">
        <v>32</v>
      </c>
      <c r="B71" s="7">
        <v>1.0</v>
      </c>
      <c r="C71" s="222">
        <v>46269.0</v>
      </c>
    </row>
    <row r="72">
      <c r="A72" s="7" t="s">
        <v>49</v>
      </c>
      <c r="B72" s="7">
        <v>1.0</v>
      </c>
      <c r="C72" s="222">
        <v>46269.0</v>
      </c>
    </row>
    <row r="73">
      <c r="A73" s="7" t="s">
        <v>225</v>
      </c>
      <c r="B73" s="7">
        <v>1.0</v>
      </c>
      <c r="C73" s="222">
        <v>46269.0</v>
      </c>
    </row>
    <row r="74">
      <c r="A74" s="7" t="s">
        <v>16</v>
      </c>
      <c r="B74" s="7">
        <v>1.0</v>
      </c>
      <c r="C74" s="222">
        <v>46269.0</v>
      </c>
    </row>
    <row r="75">
      <c r="A75" s="7" t="s">
        <v>30</v>
      </c>
      <c r="B75" s="7">
        <v>1.0</v>
      </c>
      <c r="C75" s="222">
        <v>46269.0</v>
      </c>
    </row>
    <row r="76">
      <c r="A76" s="7" t="s">
        <v>69</v>
      </c>
      <c r="B76" s="7">
        <v>1.0</v>
      </c>
      <c r="C76" s="222">
        <v>46269.0</v>
      </c>
    </row>
    <row r="78">
      <c r="A78" s="7" t="s">
        <v>124</v>
      </c>
      <c r="B78" s="7">
        <v>5.0</v>
      </c>
      <c r="C78" s="222">
        <v>46270.0</v>
      </c>
    </row>
    <row r="79">
      <c r="A79" s="7" t="s">
        <v>43</v>
      </c>
      <c r="B79" s="7">
        <v>5.0</v>
      </c>
      <c r="C79" s="222">
        <v>46270.0</v>
      </c>
    </row>
    <row r="80">
      <c r="A80" s="7" t="s">
        <v>49</v>
      </c>
      <c r="B80" s="7">
        <v>4.0</v>
      </c>
      <c r="C80" s="222">
        <v>46270.0</v>
      </c>
    </row>
    <row r="81">
      <c r="A81" s="7" t="s">
        <v>32</v>
      </c>
      <c r="B81" s="7">
        <v>3.0</v>
      </c>
      <c r="C81" s="222">
        <v>46270.0</v>
      </c>
    </row>
    <row r="82">
      <c r="A82" s="7" t="s">
        <v>73</v>
      </c>
      <c r="B82" s="7">
        <v>3.0</v>
      </c>
      <c r="C82" s="222">
        <v>46270.0</v>
      </c>
    </row>
    <row r="83">
      <c r="A83" s="7" t="s">
        <v>225</v>
      </c>
      <c r="B83" s="7">
        <v>3.0</v>
      </c>
      <c r="C83" s="222">
        <v>46270.0</v>
      </c>
    </row>
    <row r="84">
      <c r="A84" s="7" t="s">
        <v>25</v>
      </c>
      <c r="B84" s="7">
        <v>2.0</v>
      </c>
      <c r="C84" s="222">
        <v>46270.0</v>
      </c>
    </row>
    <row r="85">
      <c r="A85" s="7" t="s">
        <v>222</v>
      </c>
      <c r="B85" s="7">
        <v>2.0</v>
      </c>
      <c r="C85" s="222">
        <v>46270.0</v>
      </c>
    </row>
    <row r="86">
      <c r="A86" s="7" t="s">
        <v>26</v>
      </c>
      <c r="B86" s="7">
        <v>2.0</v>
      </c>
      <c r="C86" s="222">
        <v>46270.0</v>
      </c>
    </row>
    <row r="87">
      <c r="A87" s="7" t="s">
        <v>18</v>
      </c>
      <c r="B87" s="7">
        <v>2.0</v>
      </c>
      <c r="C87" s="222">
        <v>46270.0</v>
      </c>
    </row>
    <row r="88">
      <c r="A88" s="7" t="s">
        <v>20</v>
      </c>
      <c r="B88" s="7">
        <v>2.0</v>
      </c>
      <c r="C88" s="222">
        <v>46270.0</v>
      </c>
    </row>
    <row r="89">
      <c r="A89" s="7" t="s">
        <v>224</v>
      </c>
      <c r="B89" s="7">
        <v>2.0</v>
      </c>
      <c r="C89" s="222">
        <v>46270.0</v>
      </c>
    </row>
    <row r="90">
      <c r="A90" s="7" t="s">
        <v>34</v>
      </c>
      <c r="B90" s="7">
        <v>2.0</v>
      </c>
      <c r="C90" s="222">
        <v>46270.0</v>
      </c>
    </row>
    <row r="91">
      <c r="A91" s="7" t="s">
        <v>65</v>
      </c>
      <c r="B91" s="7">
        <v>2.0</v>
      </c>
      <c r="C91" s="222">
        <v>46270.0</v>
      </c>
    </row>
    <row r="92">
      <c r="A92" s="7" t="s">
        <v>69</v>
      </c>
      <c r="B92" s="7">
        <v>2.0</v>
      </c>
      <c r="C92" s="222">
        <v>46270.0</v>
      </c>
    </row>
    <row r="93">
      <c r="A93" s="7" t="s">
        <v>111</v>
      </c>
      <c r="B93" s="7">
        <v>1.0</v>
      </c>
      <c r="C93" s="222">
        <v>46270.0</v>
      </c>
    </row>
    <row r="94">
      <c r="A94" s="7" t="s">
        <v>226</v>
      </c>
      <c r="B94" s="7">
        <v>1.0</v>
      </c>
      <c r="C94" s="222">
        <v>46270.0</v>
      </c>
    </row>
    <row r="95">
      <c r="A95" s="7" t="s">
        <v>55</v>
      </c>
      <c r="B95" s="7">
        <v>1.0</v>
      </c>
      <c r="C95" s="222">
        <v>46270.0</v>
      </c>
    </row>
    <row r="96">
      <c r="A96" s="7" t="s">
        <v>24</v>
      </c>
      <c r="B96" s="7">
        <v>1.0</v>
      </c>
      <c r="C96" s="222">
        <v>46270.0</v>
      </c>
    </row>
    <row r="97">
      <c r="A97" s="7" t="s">
        <v>105</v>
      </c>
      <c r="B97" s="7">
        <v>1.0</v>
      </c>
      <c r="C97" s="222">
        <v>46270.0</v>
      </c>
    </row>
    <row r="98">
      <c r="A98" s="7" t="s">
        <v>228</v>
      </c>
      <c r="B98" s="7">
        <v>1.0</v>
      </c>
      <c r="C98" s="222">
        <v>46270.0</v>
      </c>
    </row>
    <row r="100">
      <c r="A100" s="225" t="s">
        <v>20</v>
      </c>
      <c r="B100" s="226">
        <v>12.0</v>
      </c>
      <c r="C100" s="222">
        <v>46271.0</v>
      </c>
    </row>
    <row r="101">
      <c r="A101" s="227" t="s">
        <v>32</v>
      </c>
      <c r="B101" s="228">
        <v>9.0</v>
      </c>
      <c r="C101" s="222">
        <v>46271.0</v>
      </c>
    </row>
    <row r="102">
      <c r="A102" s="227" t="s">
        <v>14</v>
      </c>
      <c r="B102" s="228">
        <v>6.0</v>
      </c>
      <c r="C102" s="222">
        <v>46271.0</v>
      </c>
    </row>
    <row r="103">
      <c r="A103" s="227" t="s">
        <v>43</v>
      </c>
      <c r="B103" s="228">
        <v>5.0</v>
      </c>
      <c r="C103" s="222">
        <v>46271.0</v>
      </c>
    </row>
    <row r="104">
      <c r="A104" s="227" t="s">
        <v>37</v>
      </c>
      <c r="B104" s="228">
        <v>4.0</v>
      </c>
      <c r="C104" s="222">
        <v>46271.0</v>
      </c>
    </row>
    <row r="105">
      <c r="A105" s="227" t="s">
        <v>30</v>
      </c>
      <c r="B105" s="228">
        <v>4.0</v>
      </c>
      <c r="C105" s="222">
        <v>46271.0</v>
      </c>
    </row>
    <row r="106">
      <c r="A106" s="227" t="s">
        <v>21</v>
      </c>
      <c r="B106" s="228">
        <v>3.0</v>
      </c>
      <c r="C106" s="222">
        <v>46271.0</v>
      </c>
    </row>
    <row r="107">
      <c r="A107" s="227" t="s">
        <v>16</v>
      </c>
      <c r="B107" s="228">
        <v>3.0</v>
      </c>
      <c r="C107" s="222">
        <v>46271.0</v>
      </c>
    </row>
    <row r="108">
      <c r="A108" s="227" t="s">
        <v>69</v>
      </c>
      <c r="B108" s="228">
        <v>3.0</v>
      </c>
      <c r="C108" s="222">
        <v>46271.0</v>
      </c>
    </row>
    <row r="109">
      <c r="A109" s="227" t="s">
        <v>25</v>
      </c>
      <c r="B109" s="228">
        <v>2.0</v>
      </c>
      <c r="C109" s="222">
        <v>46271.0</v>
      </c>
    </row>
    <row r="110">
      <c r="A110" s="227" t="s">
        <v>73</v>
      </c>
      <c r="B110" s="228">
        <v>2.0</v>
      </c>
      <c r="C110" s="222">
        <v>46271.0</v>
      </c>
    </row>
    <row r="111">
      <c r="A111" s="227" t="s">
        <v>52</v>
      </c>
      <c r="B111" s="228">
        <v>2.0</v>
      </c>
      <c r="C111" s="222">
        <v>46271.0</v>
      </c>
    </row>
    <row r="112">
      <c r="A112" s="227" t="s">
        <v>26</v>
      </c>
      <c r="B112" s="228">
        <v>2.0</v>
      </c>
      <c r="C112" s="222">
        <v>46271.0</v>
      </c>
    </row>
    <row r="113">
      <c r="A113" s="227" t="s">
        <v>18</v>
      </c>
      <c r="B113" s="228">
        <v>2.0</v>
      </c>
      <c r="C113" s="222">
        <v>46271.0</v>
      </c>
    </row>
    <row r="114">
      <c r="A114" s="227" t="s">
        <v>28</v>
      </c>
      <c r="B114" s="228">
        <v>2.0</v>
      </c>
      <c r="C114" s="222">
        <v>46271.0</v>
      </c>
    </row>
    <row r="115">
      <c r="A115" s="227" t="s">
        <v>224</v>
      </c>
      <c r="B115" s="228">
        <v>2.0</v>
      </c>
      <c r="C115" s="222">
        <v>46271.0</v>
      </c>
    </row>
    <row r="116">
      <c r="A116" s="227" t="s">
        <v>105</v>
      </c>
      <c r="B116" s="228">
        <v>2.0</v>
      </c>
      <c r="C116" s="222">
        <v>46271.0</v>
      </c>
    </row>
    <row r="117">
      <c r="A117" s="227" t="s">
        <v>113</v>
      </c>
      <c r="B117" s="228">
        <v>1.0</v>
      </c>
      <c r="C117" s="222">
        <v>46271.0</v>
      </c>
    </row>
    <row r="118">
      <c r="A118" s="227" t="s">
        <v>222</v>
      </c>
      <c r="B118" s="228">
        <v>1.0</v>
      </c>
      <c r="C118" s="222">
        <v>46271.0</v>
      </c>
    </row>
    <row r="119">
      <c r="A119" s="227" t="s">
        <v>49</v>
      </c>
      <c r="B119" s="228">
        <v>1.0</v>
      </c>
      <c r="C119" s="222">
        <v>46271.0</v>
      </c>
    </row>
    <row r="120">
      <c r="A120" s="227" t="s">
        <v>124</v>
      </c>
      <c r="B120" s="228">
        <v>1.0</v>
      </c>
      <c r="C120" s="222">
        <v>46271.0</v>
      </c>
    </row>
    <row r="121">
      <c r="A121" s="227" t="s">
        <v>225</v>
      </c>
      <c r="B121" s="228">
        <v>1.0</v>
      </c>
      <c r="C121" s="222">
        <v>46271.0</v>
      </c>
    </row>
    <row r="122">
      <c r="A122" s="227" t="s">
        <v>71</v>
      </c>
      <c r="B122" s="228">
        <v>1.0</v>
      </c>
      <c r="C122" s="222">
        <v>46271.0</v>
      </c>
    </row>
    <row r="123">
      <c r="A123" s="227" t="s">
        <v>24</v>
      </c>
      <c r="B123" s="228">
        <v>1.0</v>
      </c>
      <c r="C123" s="222">
        <v>46271.0</v>
      </c>
    </row>
    <row r="124">
      <c r="A124" s="227" t="s">
        <v>34</v>
      </c>
      <c r="B124" s="228">
        <v>1.0</v>
      </c>
      <c r="C124" s="222">
        <v>46271.0</v>
      </c>
    </row>
    <row r="125">
      <c r="A125" s="227" t="s">
        <v>67</v>
      </c>
      <c r="B125" s="228">
        <v>1.0</v>
      </c>
      <c r="C125" s="222">
        <v>46271.0</v>
      </c>
    </row>
    <row r="126">
      <c r="A126" s="229"/>
      <c r="B126" s="230"/>
      <c r="C126" s="222"/>
    </row>
    <row r="127">
      <c r="A127" s="231" t="s">
        <v>20</v>
      </c>
      <c r="B127" s="232">
        <v>13.0</v>
      </c>
      <c r="C127" s="222">
        <v>46272.0</v>
      </c>
    </row>
    <row r="128">
      <c r="A128" s="229" t="s">
        <v>14</v>
      </c>
      <c r="B128" s="230">
        <v>12.0</v>
      </c>
      <c r="C128" s="222">
        <v>46272.0</v>
      </c>
    </row>
    <row r="129">
      <c r="A129" s="229" t="s">
        <v>32</v>
      </c>
      <c r="B129" s="230">
        <v>10.0</v>
      </c>
      <c r="C129" s="222">
        <v>46272.0</v>
      </c>
    </row>
    <row r="130">
      <c r="A130" s="229" t="s">
        <v>49</v>
      </c>
      <c r="B130" s="230">
        <v>6.0</v>
      </c>
      <c r="C130" s="222">
        <v>46272.0</v>
      </c>
    </row>
    <row r="131">
      <c r="A131" s="229" t="s">
        <v>224</v>
      </c>
      <c r="B131" s="230">
        <v>6.0</v>
      </c>
      <c r="C131" s="222">
        <v>46272.0</v>
      </c>
    </row>
    <row r="132">
      <c r="A132" s="229" t="s">
        <v>111</v>
      </c>
      <c r="B132" s="230">
        <v>5.0</v>
      </c>
      <c r="C132" s="222">
        <v>46272.0</v>
      </c>
    </row>
    <row r="133">
      <c r="A133" s="229" t="s">
        <v>108</v>
      </c>
      <c r="B133" s="230">
        <v>5.0</v>
      </c>
      <c r="C133" s="222">
        <v>46272.0</v>
      </c>
    </row>
    <row r="134">
      <c r="A134" s="229" t="s">
        <v>124</v>
      </c>
      <c r="B134" s="230">
        <v>5.0</v>
      </c>
      <c r="C134" s="222">
        <v>46272.0</v>
      </c>
    </row>
    <row r="135">
      <c r="A135" s="229" t="s">
        <v>16</v>
      </c>
      <c r="B135" s="230">
        <v>5.0</v>
      </c>
      <c r="C135" s="222">
        <v>46272.0</v>
      </c>
    </row>
    <row r="136">
      <c r="A136" s="229" t="s">
        <v>105</v>
      </c>
      <c r="B136" s="230">
        <v>5.0</v>
      </c>
      <c r="C136" s="222">
        <v>46272.0</v>
      </c>
    </row>
    <row r="137">
      <c r="A137" s="229" t="s">
        <v>21</v>
      </c>
      <c r="B137" s="230">
        <v>4.0</v>
      </c>
      <c r="C137" s="222">
        <v>46272.0</v>
      </c>
    </row>
    <row r="138">
      <c r="A138" s="229" t="s">
        <v>69</v>
      </c>
      <c r="B138" s="230">
        <v>4.0</v>
      </c>
      <c r="C138" s="222">
        <v>46272.0</v>
      </c>
    </row>
    <row r="139">
      <c r="A139" s="229" t="s">
        <v>25</v>
      </c>
      <c r="B139" s="230">
        <v>3.0</v>
      </c>
      <c r="C139" s="222">
        <v>46272.0</v>
      </c>
    </row>
    <row r="140">
      <c r="A140" s="229" t="s">
        <v>26</v>
      </c>
      <c r="B140" s="230">
        <v>3.0</v>
      </c>
      <c r="C140" s="222">
        <v>46272.0</v>
      </c>
    </row>
    <row r="141">
      <c r="A141" s="229" t="s">
        <v>18</v>
      </c>
      <c r="B141" s="230">
        <v>3.0</v>
      </c>
      <c r="C141" s="222">
        <v>46272.0</v>
      </c>
    </row>
    <row r="142">
      <c r="A142" s="229" t="s">
        <v>225</v>
      </c>
      <c r="B142" s="230">
        <v>3.0</v>
      </c>
      <c r="C142" s="222">
        <v>46272.0</v>
      </c>
    </row>
    <row r="143">
      <c r="A143" s="229" t="s">
        <v>24</v>
      </c>
      <c r="B143" s="230">
        <v>2.0</v>
      </c>
      <c r="C143" s="222">
        <v>46272.0</v>
      </c>
    </row>
    <row r="144">
      <c r="A144" s="229" t="s">
        <v>34</v>
      </c>
      <c r="B144" s="230">
        <v>2.0</v>
      </c>
      <c r="C144" s="222">
        <v>46272.0</v>
      </c>
    </row>
    <row r="145">
      <c r="A145" s="229" t="s">
        <v>113</v>
      </c>
      <c r="B145" s="230">
        <v>1.0</v>
      </c>
      <c r="C145" s="222">
        <v>46272.0</v>
      </c>
    </row>
    <row r="146">
      <c r="A146" s="229" t="s">
        <v>73</v>
      </c>
      <c r="B146" s="230">
        <v>1.0</v>
      </c>
      <c r="C146" s="222">
        <v>46272.0</v>
      </c>
    </row>
    <row r="147">
      <c r="A147" s="229" t="s">
        <v>52</v>
      </c>
      <c r="B147" s="230">
        <v>1.0</v>
      </c>
      <c r="C147" s="222">
        <v>46272.0</v>
      </c>
    </row>
    <row r="148">
      <c r="A148" s="229" t="s">
        <v>55</v>
      </c>
      <c r="B148" s="230">
        <v>1.0</v>
      </c>
      <c r="C148" s="222">
        <v>46272.0</v>
      </c>
    </row>
    <row r="149">
      <c r="A149" s="229" t="s">
        <v>71</v>
      </c>
      <c r="B149" s="230">
        <v>1.0</v>
      </c>
      <c r="C149" s="222">
        <v>46272.0</v>
      </c>
    </row>
    <row r="150">
      <c r="A150" s="229" t="s">
        <v>229</v>
      </c>
      <c r="B150" s="230">
        <v>1.0</v>
      </c>
      <c r="C150" s="222">
        <v>46272.0</v>
      </c>
    </row>
    <row r="151">
      <c r="A151" s="229" t="s">
        <v>37</v>
      </c>
      <c r="B151" s="230">
        <v>1.0</v>
      </c>
      <c r="C151" s="222">
        <v>46272.0</v>
      </c>
    </row>
    <row r="152">
      <c r="A152" s="229" t="s">
        <v>30</v>
      </c>
      <c r="B152" s="230">
        <v>1.0</v>
      </c>
      <c r="C152" s="222">
        <v>46272.0</v>
      </c>
    </row>
    <row r="153">
      <c r="A153" s="229" t="s">
        <v>228</v>
      </c>
      <c r="B153" s="230">
        <v>1.0</v>
      </c>
      <c r="C153" s="222">
        <v>46272.0</v>
      </c>
    </row>
    <row r="154">
      <c r="A154" s="229"/>
      <c r="B154" s="230"/>
      <c r="C154" s="222"/>
    </row>
    <row r="155">
      <c r="A155" s="231" t="s">
        <v>124</v>
      </c>
      <c r="B155" s="232">
        <v>6.0</v>
      </c>
      <c r="C155" s="222">
        <v>46273.0</v>
      </c>
    </row>
    <row r="156">
      <c r="A156" s="229" t="s">
        <v>20</v>
      </c>
      <c r="B156" s="230">
        <v>6.0</v>
      </c>
      <c r="C156" s="222">
        <v>46273.0</v>
      </c>
    </row>
    <row r="157">
      <c r="A157" s="229" t="s">
        <v>69</v>
      </c>
      <c r="B157" s="230">
        <v>5.0</v>
      </c>
      <c r="C157" s="222">
        <v>46273.0</v>
      </c>
    </row>
    <row r="158">
      <c r="A158" s="229" t="s">
        <v>226</v>
      </c>
      <c r="B158" s="230">
        <v>4.0</v>
      </c>
      <c r="C158" s="222">
        <v>46273.0</v>
      </c>
    </row>
    <row r="159">
      <c r="A159" s="229" t="s">
        <v>49</v>
      </c>
      <c r="B159" s="230">
        <v>3.0</v>
      </c>
      <c r="C159" s="222">
        <v>46273.0</v>
      </c>
    </row>
    <row r="160">
      <c r="A160" s="229" t="s">
        <v>16</v>
      </c>
      <c r="B160" s="230">
        <v>3.0</v>
      </c>
      <c r="C160" s="222">
        <v>46273.0</v>
      </c>
    </row>
    <row r="161">
      <c r="A161" s="229" t="s">
        <v>224</v>
      </c>
      <c r="B161" s="230">
        <v>3.0</v>
      </c>
      <c r="C161" s="222">
        <v>46273.0</v>
      </c>
    </row>
    <row r="162">
      <c r="A162" s="229" t="s">
        <v>113</v>
      </c>
      <c r="B162" s="230">
        <v>2.0</v>
      </c>
      <c r="C162" s="222">
        <v>46273.0</v>
      </c>
    </row>
    <row r="163">
      <c r="A163" s="229" t="s">
        <v>111</v>
      </c>
      <c r="B163" s="230">
        <v>2.0</v>
      </c>
      <c r="C163" s="222">
        <v>46273.0</v>
      </c>
    </row>
    <row r="164">
      <c r="A164" s="229" t="s">
        <v>108</v>
      </c>
      <c r="B164" s="230">
        <v>2.0</v>
      </c>
      <c r="C164" s="222">
        <v>46273.0</v>
      </c>
    </row>
    <row r="165">
      <c r="A165" s="229" t="s">
        <v>43</v>
      </c>
      <c r="B165" s="230">
        <v>2.0</v>
      </c>
      <c r="C165" s="222">
        <v>46273.0</v>
      </c>
    </row>
    <row r="166">
      <c r="A166" s="229" t="s">
        <v>18</v>
      </c>
      <c r="B166" s="230">
        <v>2.0</v>
      </c>
      <c r="C166" s="222">
        <v>46273.0</v>
      </c>
    </row>
    <row r="167">
      <c r="A167" s="229" t="s">
        <v>21</v>
      </c>
      <c r="B167" s="230">
        <v>2.0</v>
      </c>
      <c r="C167" s="222">
        <v>46273.0</v>
      </c>
    </row>
    <row r="168">
      <c r="A168" s="229" t="s">
        <v>14</v>
      </c>
      <c r="B168" s="230">
        <v>2.0</v>
      </c>
      <c r="C168" s="222">
        <v>46273.0</v>
      </c>
    </row>
    <row r="169">
      <c r="A169" s="229" t="s">
        <v>30</v>
      </c>
      <c r="B169" s="230">
        <v>2.0</v>
      </c>
      <c r="C169" s="222">
        <v>46273.0</v>
      </c>
    </row>
    <row r="170">
      <c r="A170" s="229" t="s">
        <v>228</v>
      </c>
      <c r="B170" s="230">
        <v>2.0</v>
      </c>
      <c r="C170" s="222">
        <v>46273.0</v>
      </c>
    </row>
    <row r="171">
      <c r="A171" s="229" t="s">
        <v>32</v>
      </c>
      <c r="B171" s="230">
        <v>1.0</v>
      </c>
      <c r="C171" s="222">
        <v>46273.0</v>
      </c>
    </row>
    <row r="172">
      <c r="A172" s="229" t="s">
        <v>222</v>
      </c>
      <c r="B172" s="230">
        <v>1.0</v>
      </c>
      <c r="C172" s="222">
        <v>46273.0</v>
      </c>
    </row>
    <row r="173">
      <c r="A173" s="229" t="s">
        <v>28</v>
      </c>
      <c r="B173" s="230">
        <v>1.0</v>
      </c>
      <c r="C173" s="222">
        <v>46273.0</v>
      </c>
    </row>
    <row r="174">
      <c r="A174" s="229" t="s">
        <v>225</v>
      </c>
      <c r="B174" s="230">
        <v>1.0</v>
      </c>
      <c r="C174" s="222">
        <v>46273.0</v>
      </c>
    </row>
    <row r="175">
      <c r="A175" s="229" t="s">
        <v>59</v>
      </c>
      <c r="B175" s="230">
        <v>1.0</v>
      </c>
      <c r="C175" s="222">
        <v>46273.0</v>
      </c>
    </row>
    <row r="176">
      <c r="A176" s="229" t="s">
        <v>24</v>
      </c>
      <c r="B176" s="230">
        <v>1.0</v>
      </c>
      <c r="C176" s="222">
        <v>46273.0</v>
      </c>
    </row>
    <row r="177">
      <c r="A177" s="229" t="s">
        <v>229</v>
      </c>
      <c r="B177" s="230">
        <v>1.0</v>
      </c>
      <c r="C177" s="222">
        <v>46273.0</v>
      </c>
    </row>
    <row r="178">
      <c r="A178" s="229" t="s">
        <v>105</v>
      </c>
      <c r="B178" s="230">
        <v>1.0</v>
      </c>
      <c r="C178" s="222">
        <v>46273.0</v>
      </c>
    </row>
    <row r="179">
      <c r="A179" s="229" t="s">
        <v>67</v>
      </c>
      <c r="B179" s="230">
        <v>1.0</v>
      </c>
      <c r="C179" s="222">
        <v>46273.0</v>
      </c>
    </row>
    <row r="180">
      <c r="A180" s="229"/>
      <c r="B180" s="230"/>
      <c r="C180" s="222"/>
    </row>
    <row r="181">
      <c r="A181" s="231" t="s">
        <v>20</v>
      </c>
      <c r="B181" s="232">
        <v>5.0</v>
      </c>
      <c r="C181" s="222">
        <v>46274.0</v>
      </c>
    </row>
    <row r="182">
      <c r="A182" s="229" t="s">
        <v>111</v>
      </c>
      <c r="B182" s="230">
        <v>4.0</v>
      </c>
      <c r="C182" s="222">
        <v>46274.0</v>
      </c>
    </row>
    <row r="183">
      <c r="A183" s="229" t="s">
        <v>108</v>
      </c>
      <c r="B183" s="230">
        <v>3.0</v>
      </c>
      <c r="C183" s="222">
        <v>46274.0</v>
      </c>
    </row>
    <row r="184">
      <c r="A184" s="229" t="s">
        <v>43</v>
      </c>
      <c r="B184" s="230">
        <v>3.0</v>
      </c>
      <c r="C184" s="222">
        <v>46274.0</v>
      </c>
    </row>
    <row r="185">
      <c r="A185" s="229" t="s">
        <v>224</v>
      </c>
      <c r="B185" s="230">
        <v>3.0</v>
      </c>
      <c r="C185" s="222">
        <v>46274.0</v>
      </c>
    </row>
    <row r="186">
      <c r="A186" s="229" t="s">
        <v>14</v>
      </c>
      <c r="B186" s="230">
        <v>3.0</v>
      </c>
      <c r="C186" s="222">
        <v>46274.0</v>
      </c>
    </row>
    <row r="187">
      <c r="A187" s="229" t="s">
        <v>32</v>
      </c>
      <c r="B187" s="230">
        <v>2.0</v>
      </c>
      <c r="C187" s="222">
        <v>46274.0</v>
      </c>
    </row>
    <row r="188">
      <c r="A188" s="229" t="s">
        <v>124</v>
      </c>
      <c r="B188" s="230">
        <v>2.0</v>
      </c>
      <c r="C188" s="222">
        <v>46274.0</v>
      </c>
    </row>
    <row r="189">
      <c r="A189" s="229" t="s">
        <v>18</v>
      </c>
      <c r="B189" s="230">
        <v>2.0</v>
      </c>
      <c r="C189" s="222">
        <v>46274.0</v>
      </c>
    </row>
    <row r="190">
      <c r="A190" s="229" t="s">
        <v>21</v>
      </c>
      <c r="B190" s="230">
        <v>2.0</v>
      </c>
      <c r="C190" s="222">
        <v>46274.0</v>
      </c>
    </row>
    <row r="191">
      <c r="A191" s="229" t="s">
        <v>16</v>
      </c>
      <c r="B191" s="230">
        <v>2.0</v>
      </c>
      <c r="C191" s="222">
        <v>46274.0</v>
      </c>
    </row>
    <row r="192">
      <c r="A192" s="229" t="s">
        <v>228</v>
      </c>
      <c r="B192" s="230">
        <v>2.0</v>
      </c>
      <c r="C192" s="222">
        <v>46274.0</v>
      </c>
    </row>
    <row r="193">
      <c r="A193" s="229" t="s">
        <v>25</v>
      </c>
      <c r="B193" s="230">
        <v>1.0</v>
      </c>
      <c r="C193" s="222">
        <v>46274.0</v>
      </c>
    </row>
    <row r="194">
      <c r="A194" s="229" t="s">
        <v>113</v>
      </c>
      <c r="B194" s="230">
        <v>1.0</v>
      </c>
      <c r="C194" s="222">
        <v>46274.0</v>
      </c>
    </row>
    <row r="195">
      <c r="A195" s="229" t="s">
        <v>221</v>
      </c>
      <c r="B195" s="230">
        <v>1.0</v>
      </c>
      <c r="C195" s="222">
        <v>46274.0</v>
      </c>
    </row>
    <row r="196">
      <c r="A196" s="229" t="s">
        <v>222</v>
      </c>
      <c r="B196" s="230">
        <v>1.0</v>
      </c>
      <c r="C196" s="222">
        <v>46274.0</v>
      </c>
    </row>
    <row r="197">
      <c r="A197" s="229" t="s">
        <v>49</v>
      </c>
      <c r="B197" s="230">
        <v>1.0</v>
      </c>
      <c r="C197" s="222">
        <v>46274.0</v>
      </c>
    </row>
    <row r="198">
      <c r="A198" s="229" t="s">
        <v>26</v>
      </c>
      <c r="B198" s="230">
        <v>1.0</v>
      </c>
      <c r="C198" s="222">
        <v>46274.0</v>
      </c>
    </row>
    <row r="199">
      <c r="A199" s="229" t="s">
        <v>28</v>
      </c>
      <c r="B199" s="230">
        <v>1.0</v>
      </c>
      <c r="C199" s="222">
        <v>46274.0</v>
      </c>
    </row>
    <row r="200">
      <c r="A200" s="229" t="s">
        <v>105</v>
      </c>
      <c r="B200" s="230">
        <v>1.0</v>
      </c>
      <c r="C200" s="222">
        <v>46274.0</v>
      </c>
    </row>
    <row r="201">
      <c r="A201" s="229" t="s">
        <v>30</v>
      </c>
      <c r="B201" s="230">
        <v>1.0</v>
      </c>
      <c r="C201" s="222">
        <v>46274.0</v>
      </c>
    </row>
    <row r="202">
      <c r="A202" s="229" t="s">
        <v>67</v>
      </c>
      <c r="B202" s="230">
        <v>1.0</v>
      </c>
      <c r="C202" s="222">
        <v>46274.0</v>
      </c>
    </row>
    <row r="203">
      <c r="A203" s="233"/>
      <c r="B203" s="230"/>
      <c r="C203" s="222"/>
    </row>
    <row r="204">
      <c r="A204" s="233"/>
      <c r="B204" s="230"/>
      <c r="C204" s="222"/>
    </row>
    <row r="205">
      <c r="A205" s="233"/>
      <c r="B205" s="230"/>
      <c r="C205" s="222"/>
    </row>
    <row r="206">
      <c r="A206" s="233"/>
      <c r="B206" s="230"/>
      <c r="C206" s="222"/>
    </row>
    <row r="207">
      <c r="A207" s="233"/>
      <c r="B207" s="230"/>
      <c r="C207" s="222"/>
    </row>
    <row r="208">
      <c r="A208" s="233"/>
      <c r="B208" s="230"/>
      <c r="C208" s="222"/>
    </row>
    <row r="209">
      <c r="A209" s="233"/>
      <c r="B209" s="230"/>
      <c r="C209" s="222"/>
    </row>
    <row r="210">
      <c r="A210" s="233"/>
      <c r="B210" s="230"/>
      <c r="C210" s="222"/>
    </row>
    <row r="211">
      <c r="A211" s="233"/>
      <c r="B211" s="230"/>
      <c r="C211" s="222"/>
    </row>
    <row r="212">
      <c r="A212" s="233"/>
      <c r="B212" s="230"/>
      <c r="C212" s="222"/>
    </row>
    <row r="213">
      <c r="A213" s="233"/>
      <c r="B213" s="230"/>
      <c r="C213" s="222"/>
    </row>
    <row r="214">
      <c r="A214" s="233"/>
      <c r="B214" s="230"/>
      <c r="C214" s="222"/>
    </row>
    <row r="215">
      <c r="A215" s="233"/>
      <c r="B215" s="230"/>
      <c r="C215" s="222"/>
    </row>
    <row r="216">
      <c r="A216" s="233"/>
      <c r="B216" s="230"/>
      <c r="C216" s="222"/>
    </row>
    <row r="217">
      <c r="A217" s="233"/>
      <c r="B217" s="230"/>
      <c r="C217" s="222"/>
    </row>
    <row r="218">
      <c r="A218" s="233"/>
      <c r="B218" s="230"/>
      <c r="C218" s="222"/>
    </row>
    <row r="219">
      <c r="A219" s="233"/>
      <c r="B219" s="230"/>
      <c r="C219" s="222"/>
    </row>
    <row r="220">
      <c r="A220" s="233"/>
      <c r="B220" s="230"/>
      <c r="C220" s="222"/>
    </row>
    <row r="221">
      <c r="A221" s="233"/>
      <c r="B221" s="230"/>
      <c r="C221" s="222"/>
    </row>
    <row r="222">
      <c r="A222" s="229"/>
      <c r="B222" s="230"/>
      <c r="C222" s="222"/>
    </row>
    <row r="223">
      <c r="A223" s="229"/>
      <c r="B223" s="230"/>
      <c r="C223" s="222"/>
    </row>
    <row r="224">
      <c r="C224" s="222"/>
    </row>
    <row r="225">
      <c r="C225" s="222"/>
    </row>
    <row r="226">
      <c r="C226" s="222"/>
    </row>
    <row r="227">
      <c r="C227" s="222"/>
    </row>
    <row r="228">
      <c r="C228" s="222"/>
    </row>
    <row r="229">
      <c r="C229" s="222"/>
    </row>
    <row r="230">
      <c r="C230" s="222"/>
    </row>
    <row r="231">
      <c r="C231" s="222"/>
    </row>
    <row r="232">
      <c r="C232" s="222"/>
    </row>
    <row r="233">
      <c r="C233" s="222"/>
    </row>
    <row r="234">
      <c r="C234" s="222"/>
    </row>
    <row r="235">
      <c r="C235" s="222"/>
    </row>
    <row r="236">
      <c r="C236" s="222"/>
    </row>
    <row r="237">
      <c r="C237" s="222"/>
    </row>
    <row r="238">
      <c r="C238" s="222"/>
    </row>
    <row r="239">
      <c r="A239" s="231"/>
      <c r="B239" s="232"/>
      <c r="C239" s="222"/>
    </row>
    <row r="240">
      <c r="A240" s="229"/>
      <c r="B240" s="230"/>
      <c r="C240" s="222"/>
    </row>
    <row r="241">
      <c r="A241" s="229"/>
      <c r="B241" s="230"/>
      <c r="C241" s="222"/>
    </row>
    <row r="242">
      <c r="A242" s="229"/>
      <c r="B242" s="230"/>
      <c r="C242" s="222"/>
    </row>
    <row r="243">
      <c r="A243" s="229"/>
      <c r="B243" s="230"/>
      <c r="C243" s="222"/>
    </row>
    <row r="244">
      <c r="A244" s="229"/>
      <c r="B244" s="230"/>
      <c r="C244" s="222"/>
    </row>
    <row r="245">
      <c r="A245" s="229"/>
      <c r="B245" s="230"/>
      <c r="C245" s="222"/>
    </row>
    <row r="246">
      <c r="A246" s="229"/>
      <c r="B246" s="230"/>
      <c r="C246" s="222"/>
    </row>
    <row r="247">
      <c r="A247" s="229"/>
      <c r="B247" s="230"/>
      <c r="C247" s="222"/>
    </row>
    <row r="248">
      <c r="A248" s="229"/>
      <c r="B248" s="230"/>
      <c r="C248" s="222"/>
    </row>
    <row r="249">
      <c r="A249" s="229"/>
      <c r="B249" s="230"/>
      <c r="C249" s="222"/>
    </row>
    <row r="250">
      <c r="A250" s="229"/>
      <c r="B250" s="230"/>
      <c r="C250" s="222"/>
    </row>
    <row r="251">
      <c r="A251" s="229"/>
      <c r="B251" s="230"/>
      <c r="C251" s="222"/>
    </row>
    <row r="252">
      <c r="A252" s="229"/>
      <c r="B252" s="230"/>
      <c r="C252" s="222"/>
    </row>
    <row r="253">
      <c r="A253" s="229"/>
      <c r="B253" s="230"/>
      <c r="C253" s="222"/>
    </row>
    <row r="254">
      <c r="A254" s="229"/>
      <c r="B254" s="230"/>
      <c r="C254" s="222"/>
    </row>
    <row r="255">
      <c r="A255" s="229"/>
      <c r="B255" s="230"/>
      <c r="C255" s="222"/>
    </row>
    <row r="256">
      <c r="A256" s="229"/>
      <c r="B256" s="230"/>
      <c r="C256" s="222"/>
    </row>
    <row r="258">
      <c r="C258" s="222"/>
    </row>
    <row r="259">
      <c r="C259" s="222"/>
    </row>
    <row r="260">
      <c r="C260" s="222"/>
    </row>
    <row r="261">
      <c r="C261" s="222"/>
    </row>
    <row r="262">
      <c r="C262" s="222"/>
    </row>
    <row r="263">
      <c r="C263" s="222"/>
    </row>
    <row r="264">
      <c r="C264" s="222"/>
    </row>
    <row r="265">
      <c r="C265" s="222"/>
    </row>
    <row r="266">
      <c r="C266" s="222"/>
    </row>
    <row r="267">
      <c r="C267" s="222"/>
    </row>
    <row r="268">
      <c r="C268" s="222"/>
    </row>
    <row r="269">
      <c r="C269" s="222"/>
    </row>
    <row r="270">
      <c r="C270" s="222"/>
    </row>
    <row r="271">
      <c r="C271" s="222"/>
    </row>
    <row r="272">
      <c r="C272" s="222"/>
    </row>
    <row r="273">
      <c r="C273" s="222"/>
    </row>
    <row r="274">
      <c r="C274" s="222"/>
    </row>
    <row r="275">
      <c r="C275" s="222"/>
    </row>
    <row r="276">
      <c r="C276" s="222"/>
    </row>
    <row r="277">
      <c r="C277" s="222"/>
    </row>
    <row r="278">
      <c r="C278" s="222"/>
    </row>
    <row r="279">
      <c r="C279" s="222"/>
    </row>
    <row r="280">
      <c r="C280" s="222"/>
    </row>
    <row r="281">
      <c r="C281" s="222"/>
    </row>
    <row r="282">
      <c r="C282" s="222"/>
    </row>
    <row r="283">
      <c r="C283" s="222"/>
    </row>
    <row r="284">
      <c r="C284" s="222"/>
    </row>
    <row r="285">
      <c r="C285" s="222"/>
    </row>
    <row r="286">
      <c r="C286" s="222"/>
    </row>
    <row r="287">
      <c r="C287" s="222"/>
    </row>
    <row r="288">
      <c r="C288" s="222"/>
    </row>
    <row r="289">
      <c r="C289" s="222"/>
    </row>
    <row r="290">
      <c r="C290" s="222"/>
    </row>
    <row r="291">
      <c r="C291" s="222"/>
    </row>
    <row r="292">
      <c r="C292" s="222"/>
    </row>
    <row r="293">
      <c r="C293" s="222"/>
    </row>
    <row r="294">
      <c r="C294" s="222"/>
    </row>
    <row r="295">
      <c r="C295" s="222"/>
    </row>
    <row r="296">
      <c r="C296" s="222"/>
    </row>
    <row r="298">
      <c r="C298" s="222"/>
    </row>
    <row r="299">
      <c r="C299" s="222"/>
    </row>
    <row r="300">
      <c r="C300" s="222"/>
    </row>
    <row r="301">
      <c r="C301" s="222"/>
    </row>
    <row r="302">
      <c r="C302" s="222"/>
    </row>
    <row r="303">
      <c r="C303" s="222"/>
    </row>
    <row r="304">
      <c r="C304" s="222"/>
    </row>
    <row r="305">
      <c r="C305" s="222"/>
    </row>
    <row r="306">
      <c r="C306" s="222"/>
    </row>
    <row r="307">
      <c r="C307" s="222"/>
    </row>
    <row r="308">
      <c r="C308" s="222"/>
    </row>
    <row r="309">
      <c r="C309" s="222"/>
    </row>
    <row r="310">
      <c r="C310" s="222"/>
    </row>
    <row r="311">
      <c r="C311" s="222"/>
    </row>
    <row r="312">
      <c r="C312" s="222"/>
    </row>
    <row r="313">
      <c r="C313" s="222"/>
    </row>
    <row r="314">
      <c r="C314" s="222"/>
    </row>
    <row r="315">
      <c r="C315" s="222"/>
    </row>
    <row r="316">
      <c r="C316" s="222"/>
    </row>
    <row r="317">
      <c r="C317" s="222"/>
    </row>
    <row r="318">
      <c r="C318" s="222"/>
    </row>
    <row r="319">
      <c r="C319" s="222"/>
    </row>
    <row r="320">
      <c r="C320" s="222"/>
    </row>
    <row r="321">
      <c r="C321" s="222"/>
    </row>
    <row r="322">
      <c r="C322" s="222"/>
    </row>
    <row r="323">
      <c r="C323" s="222"/>
    </row>
    <row r="324">
      <c r="C324" s="222"/>
    </row>
    <row r="325">
      <c r="C325" s="222"/>
    </row>
    <row r="326">
      <c r="C326" s="222"/>
    </row>
    <row r="327">
      <c r="C327" s="222"/>
    </row>
    <row r="328">
      <c r="C328" s="222"/>
    </row>
    <row r="329">
      <c r="C329" s="222"/>
    </row>
    <row r="330">
      <c r="C330" s="222"/>
    </row>
    <row r="331">
      <c r="C331" s="222"/>
    </row>
    <row r="332">
      <c r="C332" s="222"/>
    </row>
    <row r="333">
      <c r="C333" s="222"/>
    </row>
    <row r="334">
      <c r="C334" s="222"/>
    </row>
    <row r="335">
      <c r="C335" s="222"/>
    </row>
    <row r="336">
      <c r="C336" s="222"/>
    </row>
    <row r="337">
      <c r="C337" s="222"/>
    </row>
    <row r="338">
      <c r="C338" s="222"/>
    </row>
    <row r="339">
      <c r="C339" s="222"/>
    </row>
    <row r="340">
      <c r="C340" s="222"/>
    </row>
    <row r="341">
      <c r="C341" s="222"/>
    </row>
    <row r="342">
      <c r="C342" s="222"/>
    </row>
    <row r="343">
      <c r="C343" s="222"/>
    </row>
    <row r="344">
      <c r="C344" s="222"/>
    </row>
    <row r="345">
      <c r="C345" s="222"/>
    </row>
    <row r="347">
      <c r="A347" s="231"/>
      <c r="B347" s="232"/>
      <c r="C347" s="222"/>
    </row>
    <row r="348">
      <c r="A348" s="229"/>
      <c r="B348" s="230"/>
      <c r="C348" s="222"/>
    </row>
    <row r="349">
      <c r="A349" s="229"/>
      <c r="B349" s="230"/>
      <c r="C349" s="222"/>
    </row>
    <row r="350">
      <c r="A350" s="229"/>
      <c r="B350" s="230"/>
      <c r="C350" s="222"/>
    </row>
    <row r="351">
      <c r="A351" s="229"/>
      <c r="B351" s="230"/>
      <c r="C351" s="222"/>
    </row>
    <row r="352">
      <c r="A352" s="229"/>
      <c r="B352" s="230"/>
      <c r="C352" s="222"/>
    </row>
    <row r="353">
      <c r="A353" s="229"/>
      <c r="B353" s="230"/>
      <c r="C353" s="222"/>
    </row>
    <row r="354">
      <c r="A354" s="229"/>
      <c r="B354" s="230"/>
      <c r="C354" s="222"/>
    </row>
    <row r="355">
      <c r="A355" s="229"/>
      <c r="B355" s="230"/>
      <c r="C355" s="222"/>
    </row>
    <row r="356">
      <c r="A356" s="229"/>
      <c r="B356" s="230"/>
      <c r="C356" s="222"/>
    </row>
    <row r="357">
      <c r="A357" s="229"/>
      <c r="B357" s="230"/>
      <c r="C357" s="222"/>
    </row>
    <row r="358">
      <c r="A358" s="229"/>
      <c r="B358" s="230"/>
      <c r="C358" s="222"/>
    </row>
    <row r="359">
      <c r="A359" s="229"/>
      <c r="B359" s="230"/>
      <c r="C359" s="222"/>
    </row>
    <row r="360">
      <c r="A360" s="229"/>
      <c r="B360" s="230"/>
      <c r="C360" s="222"/>
    </row>
    <row r="361">
      <c r="A361" s="229"/>
      <c r="B361" s="230"/>
      <c r="C361" s="222"/>
    </row>
    <row r="362">
      <c r="A362" s="229"/>
      <c r="B362" s="230"/>
      <c r="C362" s="222"/>
    </row>
    <row r="363">
      <c r="A363" s="229"/>
      <c r="B363" s="230"/>
      <c r="C363" s="222"/>
    </row>
    <row r="364">
      <c r="A364" s="229"/>
      <c r="B364" s="230"/>
      <c r="C364" s="222"/>
    </row>
    <row r="365">
      <c r="A365" s="229"/>
      <c r="B365" s="230"/>
      <c r="C365" s="222"/>
    </row>
    <row r="366">
      <c r="A366" s="229"/>
      <c r="B366" s="230"/>
      <c r="C366" s="222"/>
    </row>
    <row r="367">
      <c r="A367" s="229"/>
      <c r="B367" s="230"/>
      <c r="C367" s="222"/>
    </row>
    <row r="368">
      <c r="A368" s="229"/>
      <c r="B368" s="230"/>
      <c r="C368" s="222"/>
    </row>
    <row r="369">
      <c r="A369" s="229"/>
      <c r="B369" s="230"/>
      <c r="C369" s="222"/>
    </row>
    <row r="370">
      <c r="A370" s="229"/>
      <c r="B370" s="230"/>
      <c r="C370" s="222"/>
    </row>
    <row r="371">
      <c r="A371" s="229"/>
      <c r="B371" s="230"/>
      <c r="C371" s="222"/>
    </row>
    <row r="373">
      <c r="C373" s="222"/>
    </row>
    <row r="374">
      <c r="C374" s="222"/>
    </row>
    <row r="375">
      <c r="C375" s="222"/>
    </row>
    <row r="376">
      <c r="C376" s="222"/>
    </row>
    <row r="377">
      <c r="C377" s="222"/>
    </row>
    <row r="378">
      <c r="C378" s="222"/>
    </row>
    <row r="379">
      <c r="C379" s="222"/>
    </row>
    <row r="380">
      <c r="C380" s="222"/>
    </row>
    <row r="381">
      <c r="C381" s="222"/>
    </row>
    <row r="382">
      <c r="C382" s="222"/>
    </row>
    <row r="383">
      <c r="C383" s="222"/>
    </row>
    <row r="384">
      <c r="C384" s="222"/>
    </row>
    <row r="385">
      <c r="C385" s="222"/>
    </row>
    <row r="386">
      <c r="C386" s="222"/>
    </row>
    <row r="387">
      <c r="C387" s="222"/>
    </row>
    <row r="388">
      <c r="C388" s="222"/>
    </row>
    <row r="389">
      <c r="C389" s="222"/>
    </row>
    <row r="390">
      <c r="C390" s="222"/>
    </row>
    <row r="391">
      <c r="C391" s="222"/>
    </row>
    <row r="392">
      <c r="C392" s="222"/>
    </row>
    <row r="393">
      <c r="C393" s="222"/>
    </row>
    <row r="394">
      <c r="C394" s="222"/>
    </row>
    <row r="396">
      <c r="C396" s="222"/>
    </row>
    <row r="397">
      <c r="C397" s="222"/>
    </row>
    <row r="398">
      <c r="C398" s="222"/>
    </row>
    <row r="399">
      <c r="C399" s="222"/>
    </row>
    <row r="400">
      <c r="C400" s="222"/>
    </row>
    <row r="401">
      <c r="C401" s="222"/>
    </row>
    <row r="402">
      <c r="C402" s="222"/>
    </row>
    <row r="403">
      <c r="C403" s="222"/>
    </row>
    <row r="404">
      <c r="C404" s="222"/>
    </row>
    <row r="405">
      <c r="C405" s="222"/>
    </row>
    <row r="406">
      <c r="C406" s="222"/>
    </row>
    <row r="407">
      <c r="C407" s="222"/>
    </row>
    <row r="408">
      <c r="C408" s="222"/>
    </row>
    <row r="409">
      <c r="C409" s="222"/>
    </row>
    <row r="410">
      <c r="C410" s="222"/>
    </row>
    <row r="411">
      <c r="C411" s="222"/>
    </row>
    <row r="412">
      <c r="C412" s="222"/>
    </row>
    <row r="413">
      <c r="C413" s="222"/>
    </row>
    <row r="414">
      <c r="C414" s="222"/>
    </row>
    <row r="415">
      <c r="C415" s="222"/>
    </row>
    <row r="416">
      <c r="C416" s="222"/>
    </row>
    <row r="417">
      <c r="C417" s="222"/>
    </row>
    <row r="418">
      <c r="C418" s="222"/>
    </row>
    <row r="420">
      <c r="C420" s="222"/>
    </row>
    <row r="421">
      <c r="C421" s="222"/>
    </row>
    <row r="422">
      <c r="C422" s="222"/>
    </row>
    <row r="423">
      <c r="C423" s="222"/>
    </row>
    <row r="424">
      <c r="C424" s="222"/>
    </row>
    <row r="425">
      <c r="C425" s="222"/>
    </row>
    <row r="426">
      <c r="C426" s="222"/>
    </row>
    <row r="427">
      <c r="C427" s="222"/>
    </row>
    <row r="428">
      <c r="C428" s="222"/>
    </row>
    <row r="429">
      <c r="C429" s="222"/>
    </row>
    <row r="430">
      <c r="C430" s="222"/>
    </row>
    <row r="431">
      <c r="C431" s="222"/>
    </row>
    <row r="432">
      <c r="C432" s="222"/>
    </row>
    <row r="433">
      <c r="C433" s="222"/>
    </row>
    <row r="434">
      <c r="C434" s="222"/>
    </row>
    <row r="435">
      <c r="C435" s="222"/>
    </row>
    <row r="436">
      <c r="C436" s="222"/>
    </row>
    <row r="437">
      <c r="C437" s="222"/>
    </row>
    <row r="438">
      <c r="C438" s="222"/>
    </row>
    <row r="439">
      <c r="C439" s="222"/>
    </row>
    <row r="441">
      <c r="C441" s="222"/>
    </row>
    <row r="442">
      <c r="C442" s="222"/>
    </row>
    <row r="443">
      <c r="C443" s="222"/>
    </row>
    <row r="444">
      <c r="C444" s="222"/>
    </row>
    <row r="445">
      <c r="C445" s="222"/>
    </row>
    <row r="446">
      <c r="C446" s="222"/>
    </row>
    <row r="447">
      <c r="C447" s="222"/>
    </row>
    <row r="448">
      <c r="C448" s="222"/>
    </row>
    <row r="449">
      <c r="C449" s="222"/>
    </row>
    <row r="450">
      <c r="C450" s="222"/>
    </row>
    <row r="451">
      <c r="C451" s="222"/>
    </row>
    <row r="452">
      <c r="C452" s="222"/>
    </row>
    <row r="453">
      <c r="C453" s="222"/>
    </row>
    <row r="454">
      <c r="C454" s="222"/>
    </row>
    <row r="455">
      <c r="C455" s="222"/>
    </row>
    <row r="456">
      <c r="C456" s="222"/>
    </row>
    <row r="457">
      <c r="C457" s="222"/>
    </row>
    <row r="458">
      <c r="C458" s="222"/>
    </row>
    <row r="459">
      <c r="C459" s="222"/>
    </row>
    <row r="460">
      <c r="C460" s="222"/>
    </row>
    <row r="461">
      <c r="C461" s="222"/>
    </row>
    <row r="462">
      <c r="C462" s="222"/>
    </row>
    <row r="464">
      <c r="C464" s="222"/>
    </row>
    <row r="465">
      <c r="C465" s="222"/>
    </row>
    <row r="466">
      <c r="C466" s="222"/>
    </row>
    <row r="467">
      <c r="C467" s="222"/>
    </row>
    <row r="468">
      <c r="C468" s="222"/>
    </row>
    <row r="469">
      <c r="C469" s="222"/>
    </row>
    <row r="470">
      <c r="C470" s="222"/>
    </row>
    <row r="471">
      <c r="C471" s="222"/>
    </row>
    <row r="472">
      <c r="C472" s="222"/>
    </row>
    <row r="473">
      <c r="C473" s="222"/>
    </row>
    <row r="474">
      <c r="C474" s="222"/>
    </row>
    <row r="475">
      <c r="C475" s="222"/>
    </row>
    <row r="476">
      <c r="C476" s="222"/>
    </row>
    <row r="477">
      <c r="C477" s="222"/>
    </row>
    <row r="478">
      <c r="C478" s="222"/>
    </row>
    <row r="480">
      <c r="C480" s="222"/>
    </row>
    <row r="481">
      <c r="C481" s="222"/>
    </row>
    <row r="482">
      <c r="C482" s="222"/>
    </row>
    <row r="483">
      <c r="C483" s="222"/>
    </row>
    <row r="484">
      <c r="C484" s="222"/>
    </row>
    <row r="485">
      <c r="C485" s="222"/>
    </row>
    <row r="486">
      <c r="C486" s="222"/>
    </row>
    <row r="487">
      <c r="C487" s="222"/>
    </row>
    <row r="488">
      <c r="C488" s="222"/>
    </row>
    <row r="489">
      <c r="C489" s="222"/>
    </row>
    <row r="490">
      <c r="C490" s="222"/>
    </row>
    <row r="491">
      <c r="C491" s="222"/>
    </row>
    <row r="492">
      <c r="C492" s="222"/>
    </row>
    <row r="493">
      <c r="C493" s="222"/>
    </row>
    <row r="494">
      <c r="C494" s="222"/>
    </row>
    <row r="496">
      <c r="C496" s="222"/>
    </row>
    <row r="497">
      <c r="C497" s="222"/>
    </row>
    <row r="498">
      <c r="C498" s="222"/>
    </row>
    <row r="499">
      <c r="C499" s="222"/>
    </row>
    <row r="500">
      <c r="C500" s="222"/>
    </row>
    <row r="501">
      <c r="C501" s="222"/>
    </row>
    <row r="502">
      <c r="C502" s="222"/>
    </row>
    <row r="503">
      <c r="C503" s="222"/>
    </row>
    <row r="504">
      <c r="C504" s="222"/>
    </row>
    <row r="505">
      <c r="C505" s="222"/>
    </row>
    <row r="506">
      <c r="C506" s="222"/>
    </row>
    <row r="507">
      <c r="C507" s="222"/>
    </row>
    <row r="508">
      <c r="C508" s="222"/>
    </row>
    <row r="509">
      <c r="C509" s="222"/>
    </row>
    <row r="510">
      <c r="C510" s="222"/>
    </row>
    <row r="511">
      <c r="C511" s="222"/>
    </row>
    <row r="512">
      <c r="C512" s="222"/>
    </row>
    <row r="513">
      <c r="C513" s="222"/>
    </row>
    <row r="514">
      <c r="C514" s="222"/>
    </row>
    <row r="515">
      <c r="C515" s="222"/>
    </row>
    <row r="516">
      <c r="C516" s="222"/>
    </row>
    <row r="518">
      <c r="A518" s="234"/>
      <c r="B518" s="235"/>
      <c r="C518" s="222"/>
    </row>
    <row r="519">
      <c r="A519" s="236"/>
      <c r="B519" s="237"/>
      <c r="C519" s="222"/>
    </row>
    <row r="520">
      <c r="A520" s="236"/>
      <c r="B520" s="237"/>
      <c r="C520" s="222"/>
    </row>
    <row r="521">
      <c r="A521" s="236"/>
      <c r="B521" s="237"/>
      <c r="C521" s="222"/>
    </row>
    <row r="522">
      <c r="A522" s="236"/>
      <c r="B522" s="237"/>
      <c r="C522" s="222"/>
    </row>
    <row r="523">
      <c r="A523" s="236"/>
      <c r="B523" s="237"/>
      <c r="C523" s="222"/>
    </row>
    <row r="524">
      <c r="A524" s="236"/>
      <c r="B524" s="237"/>
      <c r="C524" s="222"/>
    </row>
    <row r="525">
      <c r="A525" s="236"/>
      <c r="B525" s="237"/>
      <c r="C525" s="222"/>
    </row>
    <row r="526">
      <c r="A526" s="236"/>
      <c r="B526" s="237"/>
      <c r="C526" s="222"/>
    </row>
    <row r="527">
      <c r="A527" s="236"/>
      <c r="B527" s="237"/>
      <c r="C527" s="222"/>
    </row>
    <row r="528">
      <c r="A528" s="236"/>
      <c r="B528" s="237"/>
      <c r="C528" s="222"/>
    </row>
    <row r="529">
      <c r="A529" s="236"/>
      <c r="B529" s="237"/>
      <c r="C529" s="222"/>
    </row>
    <row r="530">
      <c r="A530" s="236"/>
      <c r="B530" s="237"/>
      <c r="C530" s="222"/>
    </row>
    <row r="531">
      <c r="A531" s="236"/>
      <c r="B531" s="237"/>
      <c r="C531" s="222"/>
    </row>
    <row r="532">
      <c r="A532" s="236"/>
      <c r="B532" s="237"/>
      <c r="C532" s="222"/>
    </row>
    <row r="533">
      <c r="A533" s="236"/>
      <c r="B533" s="237"/>
      <c r="C533" s="222"/>
    </row>
    <row r="534">
      <c r="A534" s="236"/>
      <c r="B534" s="237"/>
      <c r="C534" s="222"/>
    </row>
    <row r="535">
      <c r="A535" s="236"/>
      <c r="B535" s="237"/>
      <c r="C535" s="222"/>
    </row>
    <row r="536">
      <c r="A536" s="236"/>
      <c r="B536" s="237"/>
      <c r="C536" s="222"/>
    </row>
    <row r="537">
      <c r="A537" s="236"/>
      <c r="B537" s="237"/>
      <c r="C537" s="222"/>
    </row>
    <row r="538">
      <c r="A538" s="236"/>
      <c r="B538" s="237"/>
      <c r="C538" s="222"/>
    </row>
    <row r="539">
      <c r="A539" s="236"/>
      <c r="B539" s="237"/>
      <c r="C539" s="222"/>
    </row>
    <row r="540">
      <c r="A540" s="236"/>
      <c r="B540" s="237"/>
      <c r="C540" s="222"/>
    </row>
    <row r="541">
      <c r="A541" s="236"/>
      <c r="B541" s="237"/>
      <c r="C541" s="222"/>
    </row>
    <row r="542">
      <c r="A542" s="236"/>
      <c r="B542" s="237"/>
      <c r="C542" s="222"/>
    </row>
    <row r="543">
      <c r="A543" s="236"/>
      <c r="B543" s="237"/>
      <c r="C543" s="22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12.63"/>
    <col customWidth="1" min="3" max="3" width="18.88"/>
    <col customWidth="1" min="4" max="4" width="31.38"/>
    <col customWidth="1" min="5" max="5" width="15.13"/>
  </cols>
  <sheetData>
    <row r="2">
      <c r="B2" s="238" t="s">
        <v>230</v>
      </c>
    </row>
    <row r="4">
      <c r="B4" s="239" t="s">
        <v>3</v>
      </c>
      <c r="C4" s="239" t="s">
        <v>4</v>
      </c>
      <c r="D4" s="239" t="s">
        <v>5</v>
      </c>
      <c r="E4" s="239" t="s">
        <v>6</v>
      </c>
    </row>
    <row r="5">
      <c r="B5" s="222">
        <v>46249.0</v>
      </c>
      <c r="C5" s="7" t="s">
        <v>231</v>
      </c>
      <c r="D5" s="7" t="s">
        <v>232</v>
      </c>
      <c r="E5" s="240">
        <v>1890000.0</v>
      </c>
    </row>
    <row r="6">
      <c r="B6" s="222">
        <v>46251.0</v>
      </c>
      <c r="C6" s="7" t="s">
        <v>231</v>
      </c>
      <c r="D6" s="7" t="s">
        <v>233</v>
      </c>
      <c r="E6" s="240">
        <v>895000.0</v>
      </c>
    </row>
    <row r="7">
      <c r="B7" s="222">
        <v>46254.0</v>
      </c>
      <c r="C7" s="7" t="s">
        <v>231</v>
      </c>
      <c r="D7" s="7" t="s">
        <v>234</v>
      </c>
      <c r="E7" s="240">
        <v>4410000.0</v>
      </c>
    </row>
    <row r="8">
      <c r="C8" s="18"/>
      <c r="E8" s="10"/>
    </row>
    <row r="9">
      <c r="C9" s="18"/>
      <c r="E9" s="10"/>
    </row>
    <row r="10">
      <c r="C10" s="18"/>
      <c r="E10" s="10"/>
    </row>
    <row r="11">
      <c r="C11" s="18"/>
      <c r="E11" s="10"/>
    </row>
    <row r="12">
      <c r="C12" s="18"/>
      <c r="E12" s="10"/>
    </row>
    <row r="13">
      <c r="C13" s="18"/>
      <c r="E13" s="10"/>
    </row>
    <row r="14">
      <c r="C14" s="18"/>
      <c r="E14" s="10"/>
    </row>
    <row r="15">
      <c r="C15" s="18"/>
      <c r="E15" s="10"/>
    </row>
    <row r="16">
      <c r="C16" s="18"/>
      <c r="E16" s="10"/>
    </row>
    <row r="17">
      <c r="C17" s="18"/>
      <c r="E17" s="10"/>
    </row>
    <row r="18">
      <c r="C18" s="18"/>
      <c r="E18" s="10"/>
    </row>
    <row r="19">
      <c r="C19" s="18"/>
      <c r="E19" s="10"/>
    </row>
    <row r="20">
      <c r="C20" s="18"/>
      <c r="E20" s="10"/>
    </row>
    <row r="21">
      <c r="C21" s="18"/>
      <c r="E21" s="10"/>
    </row>
    <row r="22">
      <c r="C22" s="18"/>
      <c r="E22" s="10"/>
    </row>
    <row r="23">
      <c r="C23" s="18"/>
      <c r="E23" s="10"/>
    </row>
    <row r="24">
      <c r="C24" s="18"/>
      <c r="E24" s="10"/>
    </row>
    <row r="25">
      <c r="C25" s="18"/>
      <c r="E25" s="10"/>
    </row>
    <row r="26">
      <c r="C26" s="18"/>
      <c r="E26" s="10"/>
    </row>
    <row r="27">
      <c r="C27" s="18"/>
      <c r="E27" s="10"/>
    </row>
    <row r="28">
      <c r="C28" s="18"/>
      <c r="E28" s="10"/>
    </row>
    <row r="29">
      <c r="C29" s="18"/>
      <c r="E29" s="10"/>
    </row>
    <row r="30">
      <c r="C30" s="18"/>
      <c r="E30" s="10"/>
    </row>
    <row r="31">
      <c r="C31" s="18"/>
      <c r="E31" s="10"/>
    </row>
    <row r="32">
      <c r="C32" s="18"/>
      <c r="E32" s="10"/>
    </row>
    <row r="33">
      <c r="C33" s="18"/>
      <c r="E33" s="10"/>
    </row>
    <row r="34">
      <c r="C34" s="18"/>
      <c r="E34" s="10"/>
    </row>
    <row r="35">
      <c r="C35" s="18"/>
      <c r="E35" s="10"/>
    </row>
    <row r="36">
      <c r="C36" s="18"/>
      <c r="E36" s="10"/>
    </row>
    <row r="37">
      <c r="C37" s="18"/>
      <c r="E37" s="10"/>
    </row>
    <row r="38">
      <c r="C38" s="18"/>
      <c r="E38" s="10"/>
    </row>
    <row r="39">
      <c r="C39" s="18"/>
      <c r="E39" s="10"/>
    </row>
    <row r="40">
      <c r="C40" s="18"/>
      <c r="E40" s="10"/>
    </row>
    <row r="41">
      <c r="C41" s="18"/>
      <c r="E41" s="10"/>
    </row>
    <row r="42">
      <c r="C42" s="18"/>
      <c r="E42" s="10"/>
    </row>
    <row r="43">
      <c r="C43" s="18"/>
      <c r="E43" s="10"/>
    </row>
    <row r="44">
      <c r="C44" s="18"/>
      <c r="E44" s="10"/>
    </row>
    <row r="45">
      <c r="C45" s="18"/>
      <c r="E45" s="10"/>
    </row>
    <row r="46">
      <c r="C46" s="18"/>
      <c r="E46" s="10"/>
    </row>
    <row r="47">
      <c r="C47" s="18"/>
      <c r="E47" s="10"/>
    </row>
    <row r="48">
      <c r="C48" s="18"/>
      <c r="E48" s="10"/>
    </row>
    <row r="49">
      <c r="C49" s="18"/>
      <c r="E49" s="10"/>
    </row>
    <row r="50">
      <c r="C50" s="18"/>
      <c r="E50" s="10"/>
    </row>
    <row r="51">
      <c r="C51" s="18"/>
      <c r="E51" s="10"/>
    </row>
    <row r="52">
      <c r="C52" s="18"/>
      <c r="E52" s="10"/>
    </row>
    <row r="53">
      <c r="C53" s="18"/>
      <c r="E53" s="10"/>
    </row>
    <row r="54">
      <c r="C54" s="18"/>
      <c r="E54" s="10"/>
    </row>
    <row r="55">
      <c r="C55" s="18"/>
      <c r="E55" s="10"/>
    </row>
    <row r="56">
      <c r="C56" s="18"/>
      <c r="E56" s="10"/>
    </row>
    <row r="57">
      <c r="C57" s="18"/>
      <c r="E57" s="10"/>
    </row>
    <row r="58">
      <c r="C58" s="18"/>
      <c r="E58" s="10"/>
    </row>
    <row r="59">
      <c r="C59" s="18"/>
      <c r="E59" s="10"/>
    </row>
    <row r="60">
      <c r="C60" s="18"/>
      <c r="E60" s="10"/>
    </row>
    <row r="61">
      <c r="C61" s="18"/>
      <c r="E61" s="10"/>
    </row>
    <row r="62">
      <c r="C62" s="18"/>
      <c r="E62" s="10"/>
    </row>
    <row r="63">
      <c r="C63" s="18"/>
      <c r="E63" s="10"/>
    </row>
    <row r="64">
      <c r="C64" s="18"/>
      <c r="E64" s="10"/>
    </row>
    <row r="65">
      <c r="C65" s="18"/>
      <c r="E65" s="10"/>
    </row>
    <row r="66">
      <c r="C66" s="18"/>
      <c r="E66" s="10"/>
    </row>
    <row r="67">
      <c r="C67" s="18"/>
      <c r="E67" s="10"/>
    </row>
    <row r="68">
      <c r="C68" s="18"/>
      <c r="E68" s="10"/>
    </row>
    <row r="69">
      <c r="C69" s="18"/>
      <c r="E69" s="10"/>
    </row>
    <row r="70">
      <c r="C70" s="18"/>
      <c r="E70" s="10"/>
    </row>
    <row r="71">
      <c r="C71" s="18"/>
      <c r="E71" s="10"/>
    </row>
    <row r="72">
      <c r="C72" s="18"/>
      <c r="E72" s="10"/>
    </row>
    <row r="73">
      <c r="C73" s="18"/>
      <c r="E73" s="10"/>
    </row>
    <row r="74">
      <c r="C74" s="18"/>
      <c r="E74" s="10"/>
    </row>
    <row r="75">
      <c r="C75" s="18"/>
      <c r="E75" s="10"/>
    </row>
    <row r="76">
      <c r="C76" s="18"/>
      <c r="E76" s="10"/>
    </row>
    <row r="77">
      <c r="C77" s="18"/>
      <c r="E77" s="10"/>
    </row>
    <row r="78">
      <c r="C78" s="18"/>
      <c r="E78" s="10"/>
    </row>
    <row r="79">
      <c r="C79" s="18"/>
      <c r="E79" s="10"/>
    </row>
    <row r="80">
      <c r="C80" s="18"/>
      <c r="E80" s="10"/>
    </row>
    <row r="81">
      <c r="C81" s="18"/>
      <c r="E81" s="10"/>
    </row>
    <row r="82">
      <c r="C82" s="18"/>
      <c r="E82" s="10"/>
    </row>
    <row r="83">
      <c r="C83" s="18"/>
      <c r="E83" s="10"/>
    </row>
    <row r="84">
      <c r="C84" s="18"/>
      <c r="E84" s="10"/>
    </row>
    <row r="85">
      <c r="C85" s="18"/>
      <c r="E85" s="10"/>
    </row>
    <row r="86">
      <c r="C86" s="18"/>
      <c r="E86" s="10"/>
    </row>
    <row r="87">
      <c r="C87" s="18"/>
      <c r="E87" s="10"/>
    </row>
    <row r="88">
      <c r="C88" s="18"/>
      <c r="E88" s="10"/>
    </row>
    <row r="89">
      <c r="C89" s="18"/>
      <c r="E89" s="10"/>
    </row>
    <row r="90">
      <c r="C90" s="18"/>
      <c r="E90" s="10"/>
    </row>
    <row r="91">
      <c r="C91" s="18"/>
      <c r="E91" s="10"/>
    </row>
    <row r="92">
      <c r="C92" s="18"/>
      <c r="E92" s="10"/>
    </row>
    <row r="93">
      <c r="C93" s="18"/>
      <c r="E93" s="10"/>
    </row>
    <row r="94">
      <c r="C94" s="18"/>
      <c r="E94" s="10"/>
    </row>
    <row r="95">
      <c r="C95" s="18"/>
      <c r="E95" s="10"/>
    </row>
    <row r="96">
      <c r="C96" s="18"/>
      <c r="E96" s="10"/>
    </row>
    <row r="97">
      <c r="C97" s="18"/>
      <c r="E97" s="10"/>
    </row>
    <row r="98">
      <c r="C98" s="18"/>
      <c r="E98" s="10"/>
    </row>
    <row r="99">
      <c r="C99" s="18"/>
      <c r="E99" s="10"/>
    </row>
    <row r="100">
      <c r="C100" s="18"/>
      <c r="E100" s="10"/>
    </row>
    <row r="101">
      <c r="C101" s="18"/>
      <c r="E101" s="10"/>
    </row>
    <row r="102">
      <c r="C102" s="18"/>
      <c r="E102" s="10"/>
    </row>
    <row r="103">
      <c r="C103" s="18"/>
      <c r="E103" s="10"/>
    </row>
    <row r="104">
      <c r="C104" s="18"/>
      <c r="E104" s="10"/>
    </row>
    <row r="105">
      <c r="C105" s="18"/>
      <c r="E105" s="10"/>
    </row>
    <row r="106">
      <c r="C106" s="18"/>
      <c r="E106" s="10"/>
    </row>
    <row r="107">
      <c r="C107" s="18"/>
      <c r="E107" s="10"/>
    </row>
    <row r="108">
      <c r="C108" s="18"/>
      <c r="E108" s="10"/>
    </row>
    <row r="109">
      <c r="C109" s="18"/>
      <c r="E109" s="10"/>
    </row>
    <row r="110">
      <c r="C110" s="18"/>
      <c r="E110" s="10"/>
    </row>
    <row r="111">
      <c r="C111" s="18"/>
      <c r="E111" s="10"/>
    </row>
    <row r="112">
      <c r="C112" s="18"/>
      <c r="E112" s="10"/>
    </row>
    <row r="113">
      <c r="C113" s="18"/>
      <c r="E113" s="10"/>
    </row>
    <row r="114">
      <c r="C114" s="18"/>
      <c r="E114" s="10"/>
    </row>
    <row r="115">
      <c r="C115" s="18"/>
      <c r="E115" s="10"/>
    </row>
    <row r="116">
      <c r="C116" s="18"/>
      <c r="E116" s="10"/>
    </row>
    <row r="117">
      <c r="C117" s="18"/>
      <c r="E117" s="10"/>
    </row>
    <row r="118">
      <c r="C118" s="18"/>
      <c r="E118" s="10"/>
    </row>
    <row r="119">
      <c r="C119" s="18"/>
      <c r="E119" s="10"/>
    </row>
    <row r="120">
      <c r="C120" s="18"/>
      <c r="E120" s="10"/>
    </row>
    <row r="121">
      <c r="C121" s="18"/>
      <c r="E121" s="10"/>
    </row>
    <row r="122">
      <c r="C122" s="18"/>
      <c r="E122" s="10"/>
    </row>
    <row r="123">
      <c r="C123" s="18"/>
      <c r="E123" s="10"/>
    </row>
    <row r="124">
      <c r="C124" s="18"/>
      <c r="E124" s="10"/>
    </row>
    <row r="125">
      <c r="C125" s="18"/>
      <c r="E125" s="10"/>
    </row>
    <row r="126">
      <c r="C126" s="18"/>
      <c r="E126" s="10"/>
    </row>
    <row r="127">
      <c r="C127" s="18"/>
      <c r="E127" s="10"/>
    </row>
    <row r="128">
      <c r="C128" s="18"/>
      <c r="E128" s="10"/>
    </row>
    <row r="129">
      <c r="C129" s="18"/>
      <c r="E129" s="10"/>
    </row>
    <row r="130">
      <c r="C130" s="18"/>
      <c r="E130" s="10"/>
    </row>
    <row r="131">
      <c r="C131" s="18"/>
      <c r="E131" s="10"/>
    </row>
    <row r="132">
      <c r="C132" s="18"/>
      <c r="E132" s="10"/>
    </row>
    <row r="133">
      <c r="C133" s="18"/>
      <c r="E133" s="10"/>
    </row>
    <row r="134">
      <c r="C134" s="18"/>
      <c r="E134" s="10"/>
    </row>
    <row r="135">
      <c r="C135" s="18"/>
      <c r="E135" s="10"/>
    </row>
    <row r="136">
      <c r="C136" s="18"/>
      <c r="E136" s="10"/>
    </row>
    <row r="137">
      <c r="C137" s="18"/>
      <c r="E137" s="10"/>
    </row>
    <row r="138">
      <c r="C138" s="18"/>
      <c r="E138" s="10"/>
    </row>
    <row r="139">
      <c r="C139" s="18"/>
      <c r="E139" s="10"/>
    </row>
    <row r="140">
      <c r="C140" s="18"/>
      <c r="E140" s="10"/>
    </row>
    <row r="141">
      <c r="C141" s="18"/>
      <c r="E141" s="10"/>
    </row>
    <row r="142">
      <c r="C142" s="18"/>
      <c r="E142" s="10"/>
    </row>
    <row r="143">
      <c r="C143" s="18"/>
      <c r="E143" s="10"/>
    </row>
    <row r="144">
      <c r="C144" s="18"/>
      <c r="E144" s="10"/>
    </row>
    <row r="145">
      <c r="C145" s="18"/>
      <c r="E145" s="10"/>
    </row>
    <row r="146">
      <c r="C146" s="18"/>
      <c r="E146" s="10"/>
    </row>
    <row r="147">
      <c r="C147" s="18"/>
      <c r="E147" s="10"/>
    </row>
    <row r="148">
      <c r="C148" s="18"/>
      <c r="E148" s="10"/>
    </row>
    <row r="149">
      <c r="C149" s="18"/>
      <c r="E149" s="10"/>
    </row>
    <row r="150">
      <c r="C150" s="18"/>
      <c r="E150" s="10"/>
    </row>
    <row r="151">
      <c r="C151" s="18"/>
      <c r="E151" s="10"/>
    </row>
    <row r="152">
      <c r="C152" s="18"/>
      <c r="E152" s="10"/>
    </row>
    <row r="153">
      <c r="C153" s="18"/>
      <c r="E153" s="10"/>
    </row>
    <row r="154">
      <c r="C154" s="18"/>
      <c r="E154" s="10"/>
    </row>
    <row r="155">
      <c r="C155" s="18"/>
      <c r="E155" s="10"/>
    </row>
    <row r="156">
      <c r="C156" s="18"/>
      <c r="E156" s="10"/>
    </row>
    <row r="157">
      <c r="C157" s="18"/>
      <c r="E157" s="10"/>
    </row>
    <row r="158">
      <c r="C158" s="18"/>
      <c r="E158" s="10"/>
    </row>
    <row r="159">
      <c r="C159" s="18"/>
      <c r="E159" s="10"/>
    </row>
    <row r="160">
      <c r="C160" s="18"/>
      <c r="E160" s="10"/>
    </row>
    <row r="161">
      <c r="C161" s="18"/>
      <c r="E161" s="10"/>
    </row>
    <row r="162">
      <c r="C162" s="18"/>
      <c r="E162" s="10"/>
    </row>
    <row r="163">
      <c r="C163" s="18"/>
      <c r="E163" s="10"/>
    </row>
    <row r="164">
      <c r="C164" s="18"/>
      <c r="E164" s="10"/>
    </row>
    <row r="165">
      <c r="C165" s="18"/>
      <c r="E165" s="10"/>
    </row>
    <row r="166">
      <c r="C166" s="18"/>
      <c r="E166" s="10"/>
    </row>
    <row r="167">
      <c r="C167" s="18"/>
      <c r="E167" s="10"/>
    </row>
    <row r="168">
      <c r="C168" s="18"/>
      <c r="E168" s="10"/>
    </row>
    <row r="169">
      <c r="C169" s="18"/>
      <c r="E169" s="10"/>
    </row>
    <row r="170">
      <c r="C170" s="18"/>
      <c r="E170" s="10"/>
    </row>
    <row r="171">
      <c r="C171" s="18"/>
      <c r="E171" s="10"/>
    </row>
    <row r="172">
      <c r="C172" s="18"/>
      <c r="E172" s="10"/>
    </row>
    <row r="173">
      <c r="C173" s="18"/>
      <c r="E173" s="10"/>
    </row>
    <row r="174">
      <c r="C174" s="18"/>
      <c r="E174" s="10"/>
    </row>
    <row r="175">
      <c r="C175" s="18"/>
      <c r="E175" s="10"/>
    </row>
    <row r="176">
      <c r="C176" s="18"/>
      <c r="E176" s="10"/>
    </row>
    <row r="177">
      <c r="C177" s="18"/>
      <c r="E177" s="10"/>
    </row>
    <row r="178">
      <c r="C178" s="18"/>
      <c r="E178" s="10"/>
    </row>
    <row r="179">
      <c r="C179" s="18"/>
      <c r="E179" s="10"/>
    </row>
    <row r="180">
      <c r="C180" s="18"/>
      <c r="E180" s="10"/>
    </row>
    <row r="181">
      <c r="C181" s="18"/>
      <c r="E181" s="10"/>
    </row>
    <row r="182">
      <c r="C182" s="18"/>
      <c r="E182" s="10"/>
    </row>
    <row r="183">
      <c r="C183" s="18"/>
      <c r="E183" s="10"/>
    </row>
    <row r="184">
      <c r="C184" s="18"/>
      <c r="E184" s="10"/>
    </row>
    <row r="185">
      <c r="C185" s="18"/>
      <c r="E185" s="10"/>
    </row>
    <row r="186">
      <c r="C186" s="18"/>
      <c r="E186" s="10"/>
    </row>
    <row r="187">
      <c r="C187" s="18"/>
      <c r="E187" s="10"/>
    </row>
    <row r="188">
      <c r="C188" s="18"/>
      <c r="E188" s="10"/>
    </row>
    <row r="189">
      <c r="C189" s="18"/>
      <c r="E189" s="10"/>
    </row>
    <row r="190">
      <c r="C190" s="18"/>
      <c r="E190" s="10"/>
    </row>
    <row r="191">
      <c r="C191" s="18"/>
      <c r="E191" s="10"/>
    </row>
    <row r="192">
      <c r="C192" s="18"/>
      <c r="E192" s="10"/>
    </row>
    <row r="193">
      <c r="C193" s="18"/>
      <c r="E193" s="10"/>
    </row>
    <row r="194">
      <c r="C194" s="18"/>
      <c r="E194" s="10"/>
    </row>
    <row r="195">
      <c r="C195" s="18"/>
      <c r="E195" s="10"/>
    </row>
    <row r="196">
      <c r="C196" s="18"/>
      <c r="E196" s="10"/>
    </row>
    <row r="197">
      <c r="C197" s="18"/>
      <c r="E197" s="10"/>
    </row>
    <row r="198">
      <c r="C198" s="18"/>
      <c r="E198" s="10"/>
    </row>
    <row r="199">
      <c r="C199" s="18"/>
      <c r="E199" s="10"/>
    </row>
    <row r="200">
      <c r="C200" s="18"/>
      <c r="E200" s="10"/>
    </row>
    <row r="201">
      <c r="C201" s="18"/>
      <c r="E201" s="10"/>
    </row>
    <row r="202">
      <c r="C202" s="18"/>
      <c r="E202" s="10"/>
    </row>
    <row r="203">
      <c r="C203" s="18"/>
      <c r="E203" s="10"/>
    </row>
    <row r="204">
      <c r="C204" s="18"/>
      <c r="E204" s="10"/>
    </row>
    <row r="205">
      <c r="C205" s="18"/>
      <c r="E205" s="10"/>
    </row>
    <row r="206">
      <c r="C206" s="18"/>
      <c r="E206" s="10"/>
    </row>
    <row r="207">
      <c r="C207" s="18"/>
      <c r="E207" s="10"/>
    </row>
    <row r="208">
      <c r="C208" s="18"/>
      <c r="E208" s="10"/>
    </row>
    <row r="209">
      <c r="C209" s="18"/>
      <c r="E209" s="10"/>
    </row>
    <row r="210">
      <c r="C210" s="18"/>
      <c r="E210" s="10"/>
    </row>
    <row r="211">
      <c r="C211" s="18"/>
      <c r="E211" s="10"/>
    </row>
    <row r="212">
      <c r="C212" s="18"/>
      <c r="E212" s="10"/>
    </row>
    <row r="213">
      <c r="C213" s="18"/>
      <c r="E213" s="10"/>
    </row>
    <row r="214">
      <c r="C214" s="18"/>
      <c r="E214" s="10"/>
    </row>
    <row r="215">
      <c r="C215" s="18"/>
      <c r="E215" s="10"/>
    </row>
    <row r="216">
      <c r="C216" s="18"/>
      <c r="E216" s="10"/>
    </row>
    <row r="217">
      <c r="C217" s="18"/>
      <c r="E217" s="10"/>
    </row>
    <row r="218">
      <c r="C218" s="18"/>
      <c r="E218" s="10"/>
    </row>
    <row r="219">
      <c r="C219" s="18"/>
      <c r="E219" s="10"/>
    </row>
    <row r="220">
      <c r="C220" s="18"/>
      <c r="E220" s="10"/>
    </row>
    <row r="221">
      <c r="C221" s="18"/>
      <c r="E221" s="10"/>
    </row>
    <row r="222">
      <c r="C222" s="18"/>
      <c r="E222" s="10"/>
    </row>
    <row r="223">
      <c r="C223" s="18"/>
      <c r="E223" s="10"/>
    </row>
    <row r="224">
      <c r="C224" s="18"/>
      <c r="E224" s="10"/>
    </row>
    <row r="225">
      <c r="C225" s="18"/>
      <c r="E225" s="10"/>
    </row>
    <row r="226">
      <c r="C226" s="18"/>
      <c r="E226" s="10"/>
    </row>
    <row r="227">
      <c r="C227" s="18"/>
      <c r="E227" s="10"/>
    </row>
    <row r="228">
      <c r="C228" s="18"/>
      <c r="E228" s="10"/>
    </row>
    <row r="229">
      <c r="C229" s="18"/>
      <c r="E229" s="10"/>
    </row>
    <row r="230">
      <c r="C230" s="18"/>
      <c r="E230" s="10"/>
    </row>
    <row r="231">
      <c r="C231" s="18"/>
      <c r="E231" s="10"/>
    </row>
    <row r="232">
      <c r="C232" s="18"/>
      <c r="E232" s="10"/>
    </row>
    <row r="233">
      <c r="C233" s="18"/>
      <c r="E233" s="10"/>
    </row>
    <row r="234">
      <c r="C234" s="18"/>
      <c r="E234" s="10"/>
    </row>
    <row r="235">
      <c r="C235" s="18"/>
      <c r="E235" s="10"/>
    </row>
    <row r="236">
      <c r="C236" s="18"/>
      <c r="E236" s="10"/>
    </row>
    <row r="237">
      <c r="C237" s="18"/>
      <c r="E237" s="10"/>
    </row>
    <row r="238">
      <c r="C238" s="18"/>
      <c r="E238" s="10"/>
    </row>
    <row r="239">
      <c r="C239" s="18"/>
      <c r="E239" s="10"/>
    </row>
    <row r="240">
      <c r="C240" s="18"/>
      <c r="E240" s="10"/>
    </row>
    <row r="241">
      <c r="C241" s="18"/>
      <c r="E241" s="10"/>
    </row>
    <row r="242">
      <c r="C242" s="18"/>
      <c r="E242" s="10"/>
    </row>
    <row r="243">
      <c r="C243" s="18"/>
      <c r="E243" s="10"/>
    </row>
    <row r="244">
      <c r="C244" s="18"/>
      <c r="E244" s="10"/>
    </row>
    <row r="245">
      <c r="C245" s="18"/>
      <c r="E245" s="10"/>
    </row>
    <row r="246">
      <c r="C246" s="18"/>
      <c r="E246" s="10"/>
    </row>
    <row r="247">
      <c r="C247" s="18"/>
      <c r="E247" s="10"/>
    </row>
    <row r="248">
      <c r="C248" s="18"/>
      <c r="E248" s="10"/>
    </row>
    <row r="249">
      <c r="C249" s="18"/>
      <c r="E249" s="10"/>
    </row>
    <row r="250">
      <c r="C250" s="18"/>
      <c r="E250" s="10"/>
    </row>
    <row r="251">
      <c r="C251" s="18"/>
      <c r="E251" s="10"/>
    </row>
    <row r="252">
      <c r="C252" s="18"/>
      <c r="E252" s="10"/>
    </row>
    <row r="253">
      <c r="C253" s="18"/>
      <c r="E253" s="10"/>
    </row>
    <row r="254">
      <c r="C254" s="18"/>
      <c r="E254" s="10"/>
    </row>
    <row r="255">
      <c r="C255" s="18"/>
      <c r="E255" s="10"/>
    </row>
    <row r="256">
      <c r="C256" s="18"/>
      <c r="E256" s="10"/>
    </row>
    <row r="257">
      <c r="C257" s="18"/>
      <c r="E257" s="10"/>
    </row>
    <row r="258">
      <c r="C258" s="18"/>
      <c r="E258" s="10"/>
    </row>
    <row r="259">
      <c r="C259" s="18"/>
      <c r="E259" s="10"/>
    </row>
    <row r="260">
      <c r="C260" s="18"/>
      <c r="E260" s="10"/>
    </row>
    <row r="261">
      <c r="C261" s="18"/>
      <c r="E261" s="10"/>
    </row>
    <row r="262">
      <c r="C262" s="18"/>
      <c r="E262" s="10"/>
    </row>
    <row r="263">
      <c r="C263" s="18"/>
      <c r="E263" s="10"/>
    </row>
    <row r="264">
      <c r="C264" s="18"/>
      <c r="E264" s="10"/>
    </row>
    <row r="265">
      <c r="C265" s="18"/>
      <c r="E265" s="10"/>
    </row>
    <row r="266">
      <c r="C266" s="18"/>
      <c r="E266" s="10"/>
    </row>
    <row r="267">
      <c r="C267" s="18"/>
      <c r="E267" s="10"/>
    </row>
    <row r="268">
      <c r="C268" s="18"/>
      <c r="E268" s="10"/>
    </row>
    <row r="269">
      <c r="C269" s="18"/>
      <c r="E269" s="10"/>
    </row>
    <row r="270">
      <c r="C270" s="18"/>
      <c r="E270" s="10"/>
    </row>
    <row r="271">
      <c r="C271" s="18"/>
      <c r="E271" s="10"/>
    </row>
    <row r="272">
      <c r="C272" s="18"/>
      <c r="E272" s="10"/>
    </row>
    <row r="273">
      <c r="C273" s="18"/>
      <c r="E273" s="10"/>
    </row>
    <row r="274">
      <c r="C274" s="18"/>
      <c r="E274" s="10"/>
    </row>
    <row r="275">
      <c r="C275" s="18"/>
      <c r="E275" s="10"/>
    </row>
    <row r="276">
      <c r="C276" s="18"/>
      <c r="E276" s="10"/>
    </row>
    <row r="277">
      <c r="C277" s="18"/>
      <c r="E277" s="10"/>
    </row>
    <row r="278">
      <c r="C278" s="18"/>
      <c r="E278" s="10"/>
    </row>
    <row r="279">
      <c r="C279" s="18"/>
      <c r="E279" s="10"/>
    </row>
    <row r="280">
      <c r="C280" s="18"/>
      <c r="E280" s="10"/>
    </row>
    <row r="281">
      <c r="C281" s="18"/>
      <c r="E281" s="10"/>
    </row>
    <row r="282">
      <c r="C282" s="18"/>
      <c r="E282" s="10"/>
    </row>
    <row r="283">
      <c r="C283" s="18"/>
      <c r="E283" s="10"/>
    </row>
    <row r="284">
      <c r="C284" s="18"/>
      <c r="E284" s="10"/>
    </row>
    <row r="285">
      <c r="C285" s="18"/>
      <c r="E285" s="10"/>
    </row>
    <row r="286">
      <c r="C286" s="18"/>
      <c r="E286" s="10"/>
    </row>
    <row r="287">
      <c r="C287" s="18"/>
      <c r="E287" s="10"/>
    </row>
    <row r="288">
      <c r="C288" s="18"/>
      <c r="E288" s="10"/>
    </row>
    <row r="289">
      <c r="C289" s="18"/>
      <c r="E289" s="10"/>
    </row>
    <row r="290">
      <c r="C290" s="18"/>
      <c r="E290" s="10"/>
    </row>
    <row r="291">
      <c r="C291" s="18"/>
      <c r="E291" s="10"/>
    </row>
    <row r="292">
      <c r="C292" s="18"/>
      <c r="E292" s="10"/>
    </row>
    <row r="293">
      <c r="C293" s="18"/>
      <c r="E293" s="10"/>
    </row>
    <row r="294">
      <c r="C294" s="18"/>
      <c r="E294" s="10"/>
    </row>
    <row r="295">
      <c r="C295" s="18"/>
      <c r="E295" s="10"/>
    </row>
    <row r="296">
      <c r="C296" s="18"/>
      <c r="E296" s="10"/>
    </row>
    <row r="297">
      <c r="C297" s="18"/>
      <c r="E297" s="10"/>
    </row>
    <row r="298">
      <c r="C298" s="18"/>
      <c r="E298" s="10"/>
    </row>
    <row r="299">
      <c r="C299" s="18"/>
      <c r="E299" s="10"/>
    </row>
    <row r="300">
      <c r="C300" s="18"/>
      <c r="E300" s="10"/>
    </row>
    <row r="301">
      <c r="C301" s="18"/>
      <c r="E301" s="10"/>
    </row>
    <row r="302">
      <c r="C302" s="18"/>
      <c r="E302" s="10"/>
    </row>
    <row r="303">
      <c r="C303" s="18"/>
      <c r="E303" s="10"/>
    </row>
    <row r="304">
      <c r="C304" s="18"/>
      <c r="E304" s="10"/>
    </row>
    <row r="305">
      <c r="C305" s="18"/>
      <c r="E305" s="10"/>
    </row>
    <row r="306">
      <c r="C306" s="18"/>
      <c r="E306" s="10"/>
    </row>
    <row r="307">
      <c r="C307" s="18"/>
      <c r="E307" s="10"/>
    </row>
    <row r="308">
      <c r="C308" s="18"/>
      <c r="E308" s="10"/>
    </row>
    <row r="309">
      <c r="C309" s="18"/>
      <c r="E309" s="10"/>
    </row>
    <row r="310">
      <c r="C310" s="18"/>
      <c r="E310" s="10"/>
    </row>
    <row r="311">
      <c r="C311" s="18"/>
      <c r="E311" s="10"/>
    </row>
    <row r="312">
      <c r="C312" s="18"/>
      <c r="E312" s="10"/>
    </row>
    <row r="313">
      <c r="C313" s="18"/>
      <c r="E313" s="10"/>
    </row>
    <row r="314">
      <c r="C314" s="18"/>
      <c r="E314" s="10"/>
    </row>
    <row r="315">
      <c r="C315" s="18"/>
      <c r="E315" s="10"/>
    </row>
    <row r="316">
      <c r="C316" s="18"/>
      <c r="E316" s="10"/>
    </row>
    <row r="317">
      <c r="C317" s="18"/>
      <c r="E317" s="10"/>
    </row>
    <row r="318">
      <c r="C318" s="18"/>
      <c r="E318" s="10"/>
    </row>
    <row r="319">
      <c r="C319" s="18"/>
      <c r="E319" s="10"/>
    </row>
    <row r="320">
      <c r="C320" s="18"/>
      <c r="E320" s="10"/>
    </row>
    <row r="321">
      <c r="C321" s="18"/>
      <c r="E321" s="10"/>
    </row>
    <row r="322">
      <c r="C322" s="18"/>
      <c r="E322" s="10"/>
    </row>
    <row r="323">
      <c r="C323" s="18"/>
      <c r="E323" s="10"/>
    </row>
    <row r="324">
      <c r="C324" s="18"/>
      <c r="E324" s="10"/>
    </row>
    <row r="325">
      <c r="C325" s="18"/>
      <c r="E325" s="10"/>
    </row>
    <row r="326">
      <c r="C326" s="18"/>
      <c r="E326" s="10"/>
    </row>
    <row r="327">
      <c r="C327" s="18"/>
      <c r="E327" s="10"/>
    </row>
    <row r="328">
      <c r="C328" s="18"/>
      <c r="E328" s="10"/>
    </row>
    <row r="329">
      <c r="C329" s="18"/>
      <c r="E329" s="10"/>
    </row>
    <row r="330">
      <c r="C330" s="18"/>
      <c r="E330" s="10"/>
    </row>
    <row r="331">
      <c r="C331" s="18"/>
      <c r="E331" s="10"/>
    </row>
    <row r="332">
      <c r="C332" s="18"/>
      <c r="E332" s="10"/>
    </row>
    <row r="333">
      <c r="C333" s="18"/>
      <c r="E333" s="10"/>
    </row>
    <row r="334">
      <c r="C334" s="18"/>
      <c r="E334" s="10"/>
    </row>
    <row r="335">
      <c r="C335" s="18"/>
      <c r="E335" s="10"/>
    </row>
    <row r="336">
      <c r="C336" s="18"/>
      <c r="E336" s="10"/>
    </row>
    <row r="337">
      <c r="C337" s="18"/>
      <c r="E337" s="10"/>
    </row>
    <row r="338">
      <c r="C338" s="18"/>
      <c r="E338" s="10"/>
    </row>
    <row r="339">
      <c r="C339" s="18"/>
      <c r="E339" s="10"/>
    </row>
    <row r="340">
      <c r="C340" s="18"/>
      <c r="E340" s="10"/>
    </row>
    <row r="341">
      <c r="C341" s="18"/>
      <c r="E341" s="10"/>
    </row>
    <row r="342">
      <c r="C342" s="18"/>
      <c r="E342" s="10"/>
    </row>
    <row r="343">
      <c r="C343" s="18"/>
      <c r="E343" s="10"/>
    </row>
    <row r="344">
      <c r="C344" s="18"/>
      <c r="E344" s="10"/>
    </row>
    <row r="345">
      <c r="C345" s="18"/>
      <c r="E345" s="10"/>
    </row>
    <row r="346">
      <c r="C346" s="18"/>
      <c r="E346" s="10"/>
    </row>
    <row r="347">
      <c r="C347" s="18"/>
      <c r="E347" s="10"/>
    </row>
    <row r="348">
      <c r="C348" s="18"/>
      <c r="E348" s="10"/>
    </row>
    <row r="349">
      <c r="C349" s="18"/>
      <c r="E349" s="10"/>
    </row>
    <row r="350">
      <c r="C350" s="18"/>
      <c r="E350" s="10"/>
    </row>
    <row r="351">
      <c r="C351" s="18"/>
      <c r="E351" s="10"/>
    </row>
    <row r="352">
      <c r="C352" s="18"/>
      <c r="E352" s="10"/>
    </row>
    <row r="353">
      <c r="C353" s="18"/>
      <c r="E353" s="10"/>
    </row>
    <row r="354">
      <c r="C354" s="18"/>
      <c r="E354" s="10"/>
    </row>
    <row r="355">
      <c r="C355" s="18"/>
      <c r="E355" s="10"/>
    </row>
    <row r="356">
      <c r="C356" s="18"/>
      <c r="E356" s="10"/>
    </row>
    <row r="357">
      <c r="C357" s="18"/>
      <c r="E357" s="10"/>
    </row>
    <row r="358">
      <c r="C358" s="18"/>
      <c r="E358" s="10"/>
    </row>
    <row r="359">
      <c r="C359" s="18"/>
      <c r="E359" s="10"/>
    </row>
    <row r="360">
      <c r="C360" s="18"/>
      <c r="E360" s="10"/>
    </row>
    <row r="361">
      <c r="C361" s="18"/>
      <c r="E361" s="10"/>
    </row>
    <row r="362">
      <c r="C362" s="18"/>
      <c r="E362" s="10"/>
    </row>
    <row r="363">
      <c r="C363" s="18"/>
      <c r="E363" s="10"/>
    </row>
    <row r="364">
      <c r="C364" s="18"/>
      <c r="E364" s="10"/>
    </row>
    <row r="365">
      <c r="C365" s="18"/>
      <c r="E365" s="10"/>
    </row>
    <row r="366">
      <c r="C366" s="18"/>
      <c r="E366" s="10"/>
    </row>
    <row r="367">
      <c r="C367" s="18"/>
      <c r="E367" s="10"/>
    </row>
    <row r="368">
      <c r="C368" s="18"/>
      <c r="E368" s="10"/>
    </row>
    <row r="369">
      <c r="C369" s="18"/>
      <c r="E369" s="10"/>
    </row>
    <row r="370">
      <c r="C370" s="18"/>
      <c r="E370" s="10"/>
    </row>
    <row r="371">
      <c r="C371" s="18"/>
      <c r="E371" s="10"/>
    </row>
    <row r="372">
      <c r="C372" s="18"/>
      <c r="E372" s="10"/>
    </row>
    <row r="373">
      <c r="C373" s="18"/>
      <c r="E373" s="10"/>
    </row>
    <row r="374">
      <c r="C374" s="18"/>
      <c r="E374" s="10"/>
    </row>
    <row r="375">
      <c r="C375" s="18"/>
      <c r="E375" s="10"/>
    </row>
    <row r="376">
      <c r="C376" s="18"/>
      <c r="E376" s="10"/>
    </row>
    <row r="377">
      <c r="C377" s="18"/>
      <c r="E377" s="10"/>
    </row>
    <row r="378">
      <c r="C378" s="18"/>
      <c r="E378" s="10"/>
    </row>
    <row r="379">
      <c r="C379" s="18"/>
      <c r="E379" s="10"/>
    </row>
    <row r="380">
      <c r="C380" s="18"/>
      <c r="E380" s="10"/>
    </row>
    <row r="381">
      <c r="C381" s="18"/>
      <c r="E381" s="10"/>
    </row>
    <row r="382">
      <c r="C382" s="18"/>
      <c r="E382" s="10"/>
    </row>
    <row r="383">
      <c r="C383" s="18"/>
      <c r="E383" s="10"/>
    </row>
    <row r="384">
      <c r="C384" s="18"/>
      <c r="E384" s="10"/>
    </row>
    <row r="385">
      <c r="C385" s="18"/>
      <c r="E385" s="10"/>
    </row>
    <row r="386">
      <c r="C386" s="18"/>
      <c r="E386" s="10"/>
    </row>
    <row r="387">
      <c r="C387" s="18"/>
      <c r="E387" s="10"/>
    </row>
    <row r="388">
      <c r="C388" s="18"/>
      <c r="E388" s="10"/>
    </row>
    <row r="389">
      <c r="C389" s="18"/>
      <c r="E389" s="10"/>
    </row>
    <row r="390">
      <c r="C390" s="18"/>
      <c r="E390" s="10"/>
    </row>
    <row r="391">
      <c r="C391" s="18"/>
      <c r="E391" s="10"/>
    </row>
    <row r="392">
      <c r="C392" s="18"/>
      <c r="E392" s="10"/>
    </row>
    <row r="393">
      <c r="C393" s="18"/>
      <c r="E393" s="10"/>
    </row>
    <row r="394">
      <c r="C394" s="18"/>
      <c r="E394" s="10"/>
    </row>
    <row r="395">
      <c r="C395" s="18"/>
      <c r="E395" s="10"/>
    </row>
    <row r="396">
      <c r="C396" s="18"/>
      <c r="E396" s="10"/>
    </row>
    <row r="397">
      <c r="C397" s="18"/>
      <c r="E397" s="10"/>
    </row>
    <row r="398">
      <c r="C398" s="18"/>
      <c r="E398" s="10"/>
    </row>
    <row r="399">
      <c r="C399" s="18"/>
      <c r="E399" s="10"/>
    </row>
    <row r="400">
      <c r="C400" s="18"/>
      <c r="E400" s="10"/>
    </row>
    <row r="401">
      <c r="C401" s="18"/>
      <c r="E401" s="10"/>
    </row>
    <row r="402">
      <c r="C402" s="18"/>
      <c r="E402" s="10"/>
    </row>
    <row r="403">
      <c r="C403" s="18"/>
      <c r="E403" s="10"/>
    </row>
    <row r="404">
      <c r="C404" s="18"/>
      <c r="E404" s="10"/>
    </row>
    <row r="405">
      <c r="C405" s="18"/>
      <c r="E405" s="10"/>
    </row>
    <row r="406">
      <c r="C406" s="18"/>
      <c r="E406" s="10"/>
    </row>
    <row r="407">
      <c r="C407" s="18"/>
      <c r="E407" s="10"/>
    </row>
    <row r="408">
      <c r="C408" s="18"/>
      <c r="E408" s="10"/>
    </row>
    <row r="409">
      <c r="C409" s="18"/>
      <c r="E409" s="10"/>
    </row>
    <row r="410">
      <c r="C410" s="18"/>
      <c r="E410" s="10"/>
    </row>
    <row r="411">
      <c r="C411" s="18"/>
      <c r="E411" s="10"/>
    </row>
    <row r="412">
      <c r="C412" s="18"/>
      <c r="E412" s="10"/>
    </row>
    <row r="413">
      <c r="C413" s="18"/>
      <c r="E413" s="10"/>
    </row>
    <row r="414">
      <c r="C414" s="18"/>
      <c r="E414" s="10"/>
    </row>
    <row r="415">
      <c r="C415" s="18"/>
      <c r="E415" s="10"/>
    </row>
    <row r="416">
      <c r="C416" s="18"/>
      <c r="E416" s="10"/>
    </row>
    <row r="417">
      <c r="C417" s="18"/>
      <c r="E417" s="10"/>
    </row>
    <row r="418">
      <c r="C418" s="18"/>
      <c r="E418" s="10"/>
    </row>
    <row r="419">
      <c r="C419" s="18"/>
      <c r="E419" s="10"/>
    </row>
    <row r="420">
      <c r="C420" s="18"/>
      <c r="E420" s="10"/>
    </row>
    <row r="421">
      <c r="C421" s="18"/>
      <c r="E421" s="10"/>
    </row>
    <row r="422">
      <c r="C422" s="18"/>
      <c r="E422" s="10"/>
    </row>
    <row r="423">
      <c r="C423" s="18"/>
      <c r="E423" s="10"/>
    </row>
    <row r="424">
      <c r="C424" s="18"/>
      <c r="E424" s="10"/>
    </row>
    <row r="425">
      <c r="C425" s="18"/>
      <c r="E425" s="10"/>
    </row>
    <row r="426">
      <c r="C426" s="18"/>
      <c r="E426" s="10"/>
    </row>
    <row r="427">
      <c r="C427" s="18"/>
      <c r="E427" s="10"/>
    </row>
    <row r="428">
      <c r="C428" s="18"/>
      <c r="E428" s="10"/>
    </row>
    <row r="429">
      <c r="C429" s="18"/>
      <c r="E429" s="10"/>
    </row>
    <row r="430">
      <c r="C430" s="18"/>
      <c r="E430" s="10"/>
    </row>
    <row r="431">
      <c r="C431" s="18"/>
      <c r="E431" s="10"/>
    </row>
    <row r="432">
      <c r="C432" s="18"/>
      <c r="E432" s="10"/>
    </row>
    <row r="433">
      <c r="C433" s="18"/>
      <c r="E433" s="10"/>
    </row>
    <row r="434">
      <c r="C434" s="18"/>
      <c r="E434" s="10"/>
    </row>
    <row r="435">
      <c r="C435" s="18"/>
      <c r="E435" s="10"/>
    </row>
    <row r="436">
      <c r="C436" s="18"/>
      <c r="E436" s="10"/>
    </row>
    <row r="437">
      <c r="C437" s="18"/>
      <c r="E437" s="10"/>
    </row>
    <row r="438">
      <c r="C438" s="18"/>
      <c r="E438" s="10"/>
    </row>
    <row r="439">
      <c r="C439" s="18"/>
      <c r="E439" s="10"/>
    </row>
    <row r="440">
      <c r="C440" s="18"/>
      <c r="E440" s="10"/>
    </row>
    <row r="441">
      <c r="C441" s="18"/>
      <c r="E441" s="10"/>
    </row>
    <row r="442">
      <c r="C442" s="18"/>
      <c r="E442" s="10"/>
    </row>
    <row r="443">
      <c r="C443" s="18"/>
      <c r="E443" s="10"/>
    </row>
    <row r="444">
      <c r="C444" s="18"/>
      <c r="E444" s="10"/>
    </row>
    <row r="445">
      <c r="C445" s="18"/>
      <c r="E445" s="10"/>
    </row>
    <row r="446">
      <c r="C446" s="18"/>
      <c r="E446" s="10"/>
    </row>
    <row r="447">
      <c r="C447" s="18"/>
      <c r="E447" s="10"/>
    </row>
    <row r="448">
      <c r="C448" s="18"/>
      <c r="E448" s="10"/>
    </row>
    <row r="449">
      <c r="C449" s="18"/>
      <c r="E449" s="10"/>
    </row>
    <row r="450">
      <c r="C450" s="18"/>
      <c r="E450" s="10"/>
    </row>
    <row r="451">
      <c r="C451" s="18"/>
      <c r="E451" s="10"/>
    </row>
    <row r="452">
      <c r="C452" s="18"/>
      <c r="E452" s="10"/>
    </row>
    <row r="453">
      <c r="C453" s="18"/>
      <c r="E453" s="10"/>
    </row>
    <row r="454">
      <c r="C454" s="18"/>
      <c r="E454" s="10"/>
    </row>
    <row r="455">
      <c r="C455" s="18"/>
      <c r="E455" s="10"/>
    </row>
    <row r="456">
      <c r="C456" s="18"/>
      <c r="E456" s="10"/>
    </row>
    <row r="457">
      <c r="C457" s="18"/>
      <c r="E457" s="10"/>
    </row>
    <row r="458">
      <c r="C458" s="18"/>
      <c r="E458" s="10"/>
    </row>
    <row r="459">
      <c r="C459" s="18"/>
      <c r="E459" s="10"/>
    </row>
    <row r="460">
      <c r="C460" s="18"/>
      <c r="E460" s="10"/>
    </row>
    <row r="461">
      <c r="C461" s="18"/>
      <c r="E461" s="10"/>
    </row>
    <row r="462">
      <c r="C462" s="18"/>
      <c r="E462" s="10"/>
    </row>
    <row r="463">
      <c r="C463" s="18"/>
      <c r="E463" s="10"/>
    </row>
    <row r="464">
      <c r="C464" s="18"/>
      <c r="E464" s="10"/>
    </row>
    <row r="465">
      <c r="C465" s="18"/>
      <c r="E465" s="10"/>
    </row>
    <row r="466">
      <c r="C466" s="18"/>
      <c r="E466" s="10"/>
    </row>
    <row r="467">
      <c r="C467" s="18"/>
      <c r="E467" s="10"/>
    </row>
    <row r="468">
      <c r="C468" s="18"/>
      <c r="E468" s="10"/>
    </row>
    <row r="469">
      <c r="C469" s="18"/>
      <c r="E469" s="10"/>
    </row>
    <row r="470">
      <c r="C470" s="18"/>
      <c r="E470" s="10"/>
    </row>
    <row r="471">
      <c r="C471" s="18"/>
      <c r="E471" s="10"/>
    </row>
    <row r="472">
      <c r="C472" s="18"/>
      <c r="E472" s="10"/>
    </row>
    <row r="473">
      <c r="C473" s="18"/>
      <c r="E473" s="10"/>
    </row>
    <row r="474">
      <c r="C474" s="18"/>
      <c r="E474" s="10"/>
    </row>
    <row r="475">
      <c r="C475" s="18"/>
      <c r="E475" s="10"/>
    </row>
    <row r="476">
      <c r="C476" s="18"/>
      <c r="E476" s="10"/>
    </row>
    <row r="477">
      <c r="C477" s="18"/>
      <c r="E477" s="10"/>
    </row>
    <row r="478">
      <c r="C478" s="18"/>
      <c r="E478" s="10"/>
    </row>
    <row r="479">
      <c r="C479" s="18"/>
      <c r="E479" s="10"/>
    </row>
    <row r="480">
      <c r="C480" s="18"/>
      <c r="E480" s="10"/>
    </row>
    <row r="481">
      <c r="C481" s="18"/>
      <c r="E481" s="10"/>
    </row>
    <row r="482">
      <c r="C482" s="18"/>
      <c r="E482" s="10"/>
    </row>
    <row r="483">
      <c r="C483" s="18"/>
      <c r="E483" s="10"/>
    </row>
    <row r="484">
      <c r="C484" s="18"/>
      <c r="E484" s="10"/>
    </row>
    <row r="485">
      <c r="C485" s="18"/>
      <c r="E485" s="10"/>
    </row>
    <row r="486">
      <c r="C486" s="18"/>
      <c r="E486" s="10"/>
    </row>
    <row r="487">
      <c r="C487" s="18"/>
      <c r="E487" s="10"/>
    </row>
    <row r="488">
      <c r="C488" s="18"/>
      <c r="E488" s="10"/>
    </row>
    <row r="489">
      <c r="C489" s="18"/>
      <c r="E489" s="10"/>
    </row>
    <row r="490">
      <c r="C490" s="18"/>
      <c r="E490" s="10"/>
    </row>
    <row r="491">
      <c r="C491" s="18"/>
      <c r="E491" s="10"/>
    </row>
    <row r="492">
      <c r="C492" s="18"/>
      <c r="E492" s="10"/>
    </row>
    <row r="493">
      <c r="C493" s="18"/>
      <c r="E493" s="10"/>
    </row>
    <row r="494">
      <c r="C494" s="18"/>
      <c r="E494" s="10"/>
    </row>
    <row r="495">
      <c r="C495" s="18"/>
      <c r="E495" s="10"/>
    </row>
    <row r="496">
      <c r="C496" s="18"/>
      <c r="E496" s="10"/>
    </row>
    <row r="497">
      <c r="C497" s="18"/>
      <c r="E497" s="10"/>
    </row>
    <row r="498">
      <c r="C498" s="18"/>
      <c r="E498" s="10"/>
    </row>
    <row r="499">
      <c r="C499" s="18"/>
      <c r="E499" s="10"/>
    </row>
    <row r="500">
      <c r="C500" s="18"/>
      <c r="E500" s="10"/>
    </row>
    <row r="501">
      <c r="C501" s="18"/>
      <c r="E501" s="10"/>
    </row>
    <row r="502">
      <c r="C502" s="18"/>
      <c r="E502" s="10"/>
    </row>
    <row r="503">
      <c r="C503" s="18"/>
      <c r="E503" s="10"/>
    </row>
    <row r="504">
      <c r="C504" s="18"/>
      <c r="E504" s="10"/>
    </row>
    <row r="505">
      <c r="C505" s="18"/>
      <c r="E505" s="10"/>
    </row>
    <row r="506">
      <c r="C506" s="18"/>
      <c r="E506" s="10"/>
    </row>
    <row r="507">
      <c r="C507" s="18"/>
      <c r="E507" s="10"/>
    </row>
    <row r="508">
      <c r="C508" s="18"/>
      <c r="E508" s="10"/>
    </row>
    <row r="509">
      <c r="C509" s="18"/>
      <c r="E509" s="10"/>
    </row>
    <row r="510">
      <c r="C510" s="18"/>
      <c r="E510" s="10"/>
    </row>
    <row r="511">
      <c r="C511" s="18"/>
      <c r="E511" s="10"/>
    </row>
    <row r="512">
      <c r="C512" s="18"/>
      <c r="E512" s="10"/>
    </row>
    <row r="513">
      <c r="C513" s="18"/>
      <c r="E513" s="10"/>
    </row>
    <row r="514">
      <c r="C514" s="18"/>
      <c r="E514" s="10"/>
    </row>
    <row r="515">
      <c r="C515" s="18"/>
      <c r="E515" s="10"/>
    </row>
    <row r="516">
      <c r="C516" s="18"/>
      <c r="E516" s="10"/>
    </row>
    <row r="517">
      <c r="C517" s="18"/>
      <c r="E517" s="10"/>
    </row>
    <row r="518">
      <c r="C518" s="18"/>
      <c r="E518" s="10"/>
    </row>
    <row r="519">
      <c r="C519" s="18"/>
      <c r="E519" s="10"/>
    </row>
    <row r="520">
      <c r="C520" s="18"/>
      <c r="E520" s="10"/>
    </row>
    <row r="521">
      <c r="C521" s="18"/>
      <c r="E521" s="10"/>
    </row>
    <row r="522">
      <c r="C522" s="18"/>
      <c r="E522" s="10"/>
    </row>
    <row r="523">
      <c r="C523" s="18"/>
      <c r="E523" s="10"/>
    </row>
    <row r="524">
      <c r="C524" s="18"/>
      <c r="E524" s="10"/>
    </row>
    <row r="525">
      <c r="C525" s="18"/>
      <c r="E525" s="10"/>
    </row>
    <row r="526">
      <c r="C526" s="18"/>
      <c r="E526" s="10"/>
    </row>
    <row r="527">
      <c r="C527" s="18"/>
      <c r="E527" s="10"/>
    </row>
    <row r="528">
      <c r="C528" s="18"/>
      <c r="E528" s="10"/>
    </row>
    <row r="529">
      <c r="C529" s="18"/>
      <c r="E529" s="10"/>
    </row>
    <row r="530">
      <c r="C530" s="18"/>
      <c r="E530" s="10"/>
    </row>
    <row r="531">
      <c r="C531" s="18"/>
      <c r="E531" s="10"/>
    </row>
    <row r="532">
      <c r="C532" s="18"/>
      <c r="E532" s="10"/>
    </row>
    <row r="533">
      <c r="C533" s="18"/>
      <c r="E533" s="10"/>
    </row>
    <row r="534">
      <c r="C534" s="18"/>
      <c r="E534" s="10"/>
    </row>
    <row r="535">
      <c r="C535" s="18"/>
      <c r="E535" s="10"/>
    </row>
    <row r="536">
      <c r="C536" s="18"/>
      <c r="E536" s="10"/>
    </row>
    <row r="537">
      <c r="C537" s="18"/>
      <c r="E537" s="10"/>
    </row>
    <row r="538">
      <c r="C538" s="18"/>
      <c r="E538" s="10"/>
    </row>
    <row r="539">
      <c r="C539" s="18"/>
      <c r="E539" s="10"/>
    </row>
    <row r="540">
      <c r="C540" s="18"/>
      <c r="E540" s="10"/>
    </row>
    <row r="541">
      <c r="C541" s="18"/>
      <c r="E541" s="10"/>
    </row>
    <row r="542">
      <c r="C542" s="18"/>
      <c r="E542" s="10"/>
    </row>
    <row r="543">
      <c r="C543" s="18"/>
      <c r="E543" s="10"/>
    </row>
    <row r="544">
      <c r="C544" s="18"/>
      <c r="E544" s="10"/>
    </row>
    <row r="545">
      <c r="C545" s="18"/>
      <c r="E545" s="10"/>
    </row>
    <row r="546">
      <c r="C546" s="18"/>
      <c r="E546" s="10"/>
    </row>
    <row r="547">
      <c r="C547" s="18"/>
      <c r="E547" s="10"/>
    </row>
    <row r="548">
      <c r="C548" s="18"/>
      <c r="E548" s="10"/>
    </row>
    <row r="549">
      <c r="C549" s="18"/>
      <c r="E549" s="10"/>
    </row>
    <row r="550">
      <c r="C550" s="18"/>
      <c r="E550" s="10"/>
    </row>
    <row r="551">
      <c r="C551" s="18"/>
      <c r="E551" s="10"/>
    </row>
    <row r="552">
      <c r="C552" s="18"/>
      <c r="E552" s="10"/>
    </row>
    <row r="553">
      <c r="C553" s="18"/>
      <c r="E553" s="10"/>
    </row>
    <row r="554">
      <c r="C554" s="18"/>
      <c r="E554" s="10"/>
    </row>
    <row r="555">
      <c r="C555" s="18"/>
      <c r="E555" s="10"/>
    </row>
    <row r="556">
      <c r="C556" s="18"/>
      <c r="E556" s="10"/>
    </row>
    <row r="557">
      <c r="C557" s="18"/>
      <c r="E557" s="10"/>
    </row>
    <row r="558">
      <c r="C558" s="18"/>
      <c r="E558" s="10"/>
    </row>
    <row r="559">
      <c r="C559" s="18"/>
      <c r="E559" s="10"/>
    </row>
    <row r="560">
      <c r="C560" s="18"/>
      <c r="E560" s="10"/>
    </row>
    <row r="561">
      <c r="C561" s="18"/>
      <c r="E561" s="10"/>
    </row>
    <row r="562">
      <c r="C562" s="18"/>
      <c r="E562" s="10"/>
    </row>
    <row r="563">
      <c r="C563" s="18"/>
      <c r="E563" s="10"/>
    </row>
    <row r="564">
      <c r="C564" s="18"/>
      <c r="E564" s="10"/>
    </row>
    <row r="565">
      <c r="C565" s="18"/>
      <c r="E565" s="10"/>
    </row>
    <row r="566">
      <c r="C566" s="18"/>
      <c r="E566" s="10"/>
    </row>
    <row r="567">
      <c r="C567" s="18"/>
      <c r="E567" s="10"/>
    </row>
    <row r="568">
      <c r="C568" s="18"/>
      <c r="E568" s="10"/>
    </row>
    <row r="569">
      <c r="C569" s="18"/>
      <c r="E569" s="10"/>
    </row>
    <row r="570">
      <c r="C570" s="18"/>
      <c r="E570" s="10"/>
    </row>
    <row r="571">
      <c r="C571" s="18"/>
      <c r="E571" s="10"/>
    </row>
    <row r="572">
      <c r="C572" s="18"/>
      <c r="E572" s="10"/>
    </row>
    <row r="573">
      <c r="C573" s="18"/>
      <c r="E573" s="10"/>
    </row>
    <row r="574">
      <c r="C574" s="18"/>
      <c r="E574" s="10"/>
    </row>
    <row r="575">
      <c r="C575" s="18"/>
      <c r="E575" s="10"/>
    </row>
    <row r="576">
      <c r="C576" s="18"/>
      <c r="E576" s="10"/>
    </row>
    <row r="577">
      <c r="C577" s="18"/>
      <c r="E577" s="10"/>
    </row>
    <row r="578">
      <c r="C578" s="18"/>
      <c r="E578" s="10"/>
    </row>
    <row r="579">
      <c r="C579" s="18"/>
      <c r="E579" s="10"/>
    </row>
    <row r="580">
      <c r="C580" s="18"/>
      <c r="E580" s="10"/>
    </row>
    <row r="581">
      <c r="C581" s="18"/>
      <c r="E581" s="10"/>
    </row>
    <row r="582">
      <c r="C582" s="18"/>
      <c r="E582" s="10"/>
    </row>
    <row r="583">
      <c r="C583" s="18"/>
      <c r="E583" s="10"/>
    </row>
    <row r="584">
      <c r="C584" s="18"/>
      <c r="E584" s="10"/>
    </row>
    <row r="585">
      <c r="C585" s="18"/>
      <c r="E585" s="10"/>
    </row>
    <row r="586">
      <c r="C586" s="18"/>
      <c r="E586" s="10"/>
    </row>
    <row r="587">
      <c r="C587" s="18"/>
      <c r="E587" s="10"/>
    </row>
    <row r="588">
      <c r="C588" s="18"/>
      <c r="E588" s="10"/>
    </row>
    <row r="589">
      <c r="C589" s="18"/>
      <c r="E589" s="10"/>
    </row>
    <row r="590">
      <c r="C590" s="18"/>
      <c r="E590" s="10"/>
    </row>
    <row r="591">
      <c r="C591" s="18"/>
      <c r="E591" s="10"/>
    </row>
    <row r="592">
      <c r="C592" s="18"/>
      <c r="E592" s="10"/>
    </row>
    <row r="593">
      <c r="C593" s="18"/>
      <c r="E593" s="10"/>
    </row>
    <row r="594">
      <c r="C594" s="18"/>
      <c r="E594" s="10"/>
    </row>
    <row r="595">
      <c r="C595" s="18"/>
      <c r="E595" s="10"/>
    </row>
    <row r="596">
      <c r="C596" s="18"/>
      <c r="E596" s="10"/>
    </row>
    <row r="597">
      <c r="C597" s="18"/>
      <c r="E597" s="10"/>
    </row>
    <row r="598">
      <c r="C598" s="18"/>
      <c r="E598" s="10"/>
    </row>
    <row r="599">
      <c r="C599" s="18"/>
      <c r="E599" s="10"/>
    </row>
    <row r="600">
      <c r="C600" s="18"/>
      <c r="E600" s="10"/>
    </row>
    <row r="601">
      <c r="C601" s="18"/>
      <c r="E601" s="10"/>
    </row>
    <row r="602">
      <c r="C602" s="18"/>
      <c r="E602" s="10"/>
    </row>
    <row r="603">
      <c r="C603" s="18"/>
      <c r="E603" s="10"/>
    </row>
    <row r="604">
      <c r="C604" s="18"/>
      <c r="E604" s="10"/>
    </row>
    <row r="605">
      <c r="C605" s="18"/>
      <c r="E605" s="10"/>
    </row>
    <row r="606">
      <c r="C606" s="18"/>
      <c r="E606" s="10"/>
    </row>
    <row r="607">
      <c r="C607" s="18"/>
      <c r="E607" s="10"/>
    </row>
    <row r="608">
      <c r="C608" s="18"/>
      <c r="E608" s="10"/>
    </row>
    <row r="609">
      <c r="C609" s="18"/>
      <c r="E609" s="10"/>
    </row>
    <row r="610">
      <c r="C610" s="18"/>
      <c r="E610" s="10"/>
    </row>
    <row r="611">
      <c r="C611" s="18"/>
      <c r="E611" s="10"/>
    </row>
    <row r="612">
      <c r="C612" s="18"/>
      <c r="E612" s="10"/>
    </row>
    <row r="613">
      <c r="C613" s="18"/>
      <c r="E613" s="10"/>
    </row>
    <row r="614">
      <c r="C614" s="18"/>
      <c r="E614" s="10"/>
    </row>
    <row r="615">
      <c r="C615" s="18"/>
      <c r="E615" s="10"/>
    </row>
    <row r="616">
      <c r="C616" s="18"/>
      <c r="E616" s="10"/>
    </row>
    <row r="617">
      <c r="C617" s="18"/>
      <c r="E617" s="10"/>
    </row>
    <row r="618">
      <c r="C618" s="18"/>
      <c r="E618" s="10"/>
    </row>
    <row r="619">
      <c r="C619" s="18"/>
      <c r="E619" s="10"/>
    </row>
    <row r="620">
      <c r="C620" s="18"/>
      <c r="E620" s="10"/>
    </row>
    <row r="621">
      <c r="C621" s="18"/>
      <c r="E621" s="10"/>
    </row>
    <row r="622">
      <c r="C622" s="18"/>
      <c r="E622" s="10"/>
    </row>
    <row r="623">
      <c r="C623" s="18"/>
      <c r="E623" s="10"/>
    </row>
    <row r="624">
      <c r="C624" s="18"/>
      <c r="E624" s="10"/>
    </row>
    <row r="625">
      <c r="C625" s="18"/>
      <c r="E625" s="10"/>
    </row>
    <row r="626">
      <c r="C626" s="18"/>
      <c r="E626" s="10"/>
    </row>
    <row r="627">
      <c r="C627" s="18"/>
      <c r="E627" s="10"/>
    </row>
    <row r="628">
      <c r="C628" s="18"/>
      <c r="E628" s="10"/>
    </row>
    <row r="629">
      <c r="C629" s="18"/>
      <c r="E629" s="10"/>
    </row>
    <row r="630">
      <c r="C630" s="18"/>
      <c r="E630" s="10"/>
    </row>
    <row r="631">
      <c r="C631" s="18"/>
      <c r="E631" s="10"/>
    </row>
    <row r="632">
      <c r="C632" s="18"/>
      <c r="E632" s="10"/>
    </row>
    <row r="633">
      <c r="C633" s="18"/>
      <c r="E633" s="10"/>
    </row>
    <row r="634">
      <c r="C634" s="18"/>
      <c r="E634" s="10"/>
    </row>
    <row r="635">
      <c r="C635" s="18"/>
      <c r="E635" s="10"/>
    </row>
    <row r="636">
      <c r="C636" s="18"/>
      <c r="E636" s="10"/>
    </row>
    <row r="637">
      <c r="C637" s="18"/>
      <c r="E637" s="10"/>
    </row>
    <row r="638">
      <c r="C638" s="18"/>
      <c r="E638" s="10"/>
    </row>
    <row r="639">
      <c r="C639" s="18"/>
      <c r="E639" s="10"/>
    </row>
    <row r="640">
      <c r="C640" s="18"/>
      <c r="E640" s="10"/>
    </row>
    <row r="641">
      <c r="C641" s="18"/>
      <c r="E641" s="10"/>
    </row>
    <row r="642">
      <c r="C642" s="18"/>
      <c r="E642" s="10"/>
    </row>
    <row r="643">
      <c r="C643" s="18"/>
      <c r="E643" s="10"/>
    </row>
    <row r="644">
      <c r="C644" s="18"/>
      <c r="E644" s="10"/>
    </row>
    <row r="645">
      <c r="C645" s="18"/>
      <c r="E645" s="10"/>
    </row>
    <row r="646">
      <c r="C646" s="18"/>
      <c r="E646" s="10"/>
    </row>
    <row r="647">
      <c r="C647" s="18"/>
      <c r="E647" s="10"/>
    </row>
    <row r="648">
      <c r="C648" s="18"/>
      <c r="E648" s="10"/>
    </row>
    <row r="649">
      <c r="C649" s="18"/>
      <c r="E649" s="10"/>
    </row>
    <row r="650">
      <c r="C650" s="18"/>
      <c r="E650" s="10"/>
    </row>
    <row r="651">
      <c r="C651" s="18"/>
      <c r="E651" s="10"/>
    </row>
    <row r="652">
      <c r="C652" s="18"/>
      <c r="E652" s="10"/>
    </row>
    <row r="653">
      <c r="C653" s="18"/>
      <c r="E653" s="10"/>
    </row>
    <row r="654">
      <c r="C654" s="18"/>
      <c r="E654" s="10"/>
    </row>
    <row r="655">
      <c r="C655" s="18"/>
      <c r="E655" s="10"/>
    </row>
    <row r="656">
      <c r="C656" s="18"/>
      <c r="E656" s="10"/>
    </row>
    <row r="657">
      <c r="C657" s="18"/>
      <c r="E657" s="10"/>
    </row>
    <row r="658">
      <c r="C658" s="18"/>
      <c r="E658" s="10"/>
    </row>
    <row r="659">
      <c r="C659" s="18"/>
      <c r="E659" s="10"/>
    </row>
    <row r="660">
      <c r="C660" s="18"/>
      <c r="E660" s="10"/>
    </row>
    <row r="661">
      <c r="C661" s="18"/>
      <c r="E661" s="10"/>
    </row>
    <row r="662">
      <c r="C662" s="18"/>
      <c r="E662" s="10"/>
    </row>
    <row r="663">
      <c r="C663" s="18"/>
      <c r="E663" s="10"/>
    </row>
    <row r="664">
      <c r="C664" s="18"/>
      <c r="E664" s="10"/>
    </row>
    <row r="665">
      <c r="C665" s="18"/>
      <c r="E665" s="10"/>
    </row>
    <row r="666">
      <c r="C666" s="18"/>
      <c r="E666" s="10"/>
    </row>
    <row r="667">
      <c r="C667" s="18"/>
      <c r="E667" s="10"/>
    </row>
    <row r="668">
      <c r="C668" s="18"/>
      <c r="E668" s="10"/>
    </row>
    <row r="669">
      <c r="C669" s="18"/>
      <c r="E669" s="10"/>
    </row>
    <row r="670">
      <c r="C670" s="18"/>
      <c r="E670" s="10"/>
    </row>
    <row r="671">
      <c r="C671" s="18"/>
      <c r="E671" s="10"/>
    </row>
    <row r="672">
      <c r="C672" s="18"/>
      <c r="E672" s="10"/>
    </row>
    <row r="673">
      <c r="C673" s="18"/>
      <c r="E673" s="10"/>
    </row>
    <row r="674">
      <c r="C674" s="18"/>
      <c r="E674" s="10"/>
    </row>
    <row r="675">
      <c r="C675" s="18"/>
      <c r="E675" s="10"/>
    </row>
    <row r="676">
      <c r="C676" s="18"/>
      <c r="E676" s="10"/>
    </row>
    <row r="677">
      <c r="C677" s="18"/>
      <c r="E677" s="10"/>
    </row>
    <row r="678">
      <c r="C678" s="18"/>
      <c r="E678" s="10"/>
    </row>
    <row r="679">
      <c r="C679" s="18"/>
      <c r="E679" s="10"/>
    </row>
    <row r="680">
      <c r="C680" s="18"/>
      <c r="E680" s="10"/>
    </row>
    <row r="681">
      <c r="C681" s="18"/>
      <c r="E681" s="10"/>
    </row>
    <row r="682">
      <c r="C682" s="18"/>
      <c r="E682" s="10"/>
    </row>
    <row r="683">
      <c r="C683" s="18"/>
      <c r="E683" s="10"/>
    </row>
    <row r="684">
      <c r="C684" s="18"/>
      <c r="E684" s="10"/>
    </row>
    <row r="685">
      <c r="C685" s="18"/>
      <c r="E685" s="10"/>
    </row>
    <row r="686">
      <c r="C686" s="18"/>
      <c r="E686" s="10"/>
    </row>
    <row r="687">
      <c r="C687" s="18"/>
      <c r="E687" s="10"/>
    </row>
    <row r="688">
      <c r="C688" s="18"/>
      <c r="E688" s="10"/>
    </row>
    <row r="689">
      <c r="C689" s="18"/>
      <c r="E689" s="10"/>
    </row>
    <row r="690">
      <c r="C690" s="18"/>
      <c r="E690" s="10"/>
    </row>
    <row r="691">
      <c r="C691" s="18"/>
      <c r="E691" s="10"/>
    </row>
    <row r="692">
      <c r="C692" s="18"/>
      <c r="E692" s="10"/>
    </row>
    <row r="693">
      <c r="C693" s="18"/>
      <c r="E693" s="10"/>
    </row>
    <row r="694">
      <c r="C694" s="18"/>
      <c r="E694" s="10"/>
    </row>
    <row r="695">
      <c r="C695" s="18"/>
      <c r="E695" s="10"/>
    </row>
    <row r="696">
      <c r="C696" s="18"/>
      <c r="E696" s="10"/>
    </row>
    <row r="697">
      <c r="C697" s="18"/>
      <c r="E697" s="10"/>
    </row>
    <row r="698">
      <c r="C698" s="18"/>
      <c r="E698" s="10"/>
    </row>
    <row r="699">
      <c r="C699" s="18"/>
      <c r="E699" s="10"/>
    </row>
    <row r="700">
      <c r="C700" s="18"/>
      <c r="E700" s="10"/>
    </row>
    <row r="701">
      <c r="C701" s="18"/>
      <c r="E701" s="10"/>
    </row>
    <row r="702">
      <c r="C702" s="18"/>
      <c r="E702" s="10"/>
    </row>
    <row r="703">
      <c r="C703" s="18"/>
      <c r="E703" s="10"/>
    </row>
    <row r="704">
      <c r="C704" s="18"/>
      <c r="E704" s="10"/>
    </row>
    <row r="705">
      <c r="C705" s="18"/>
      <c r="E705" s="10"/>
    </row>
    <row r="706">
      <c r="C706" s="18"/>
      <c r="E706" s="10"/>
    </row>
    <row r="707">
      <c r="C707" s="18"/>
      <c r="E707" s="10"/>
    </row>
    <row r="708">
      <c r="C708" s="18"/>
      <c r="E708" s="10"/>
    </row>
    <row r="709">
      <c r="C709" s="18"/>
      <c r="E709" s="10"/>
    </row>
    <row r="710">
      <c r="C710" s="18"/>
      <c r="E710" s="10"/>
    </row>
    <row r="711">
      <c r="C711" s="18"/>
      <c r="E711" s="10"/>
    </row>
    <row r="712">
      <c r="C712" s="18"/>
      <c r="E712" s="10"/>
    </row>
    <row r="713">
      <c r="C713" s="18"/>
      <c r="E713" s="10"/>
    </row>
    <row r="714">
      <c r="C714" s="18"/>
      <c r="E714" s="10"/>
    </row>
    <row r="715">
      <c r="C715" s="18"/>
      <c r="E715" s="10"/>
    </row>
    <row r="716">
      <c r="C716" s="18"/>
      <c r="E716" s="10"/>
    </row>
    <row r="717">
      <c r="C717" s="18"/>
      <c r="E717" s="10"/>
    </row>
    <row r="718">
      <c r="C718" s="18"/>
      <c r="E718" s="10"/>
    </row>
    <row r="719">
      <c r="C719" s="18"/>
      <c r="E719" s="10"/>
    </row>
    <row r="720">
      <c r="C720" s="18"/>
      <c r="E720" s="10"/>
    </row>
    <row r="721">
      <c r="C721" s="18"/>
      <c r="E721" s="10"/>
    </row>
    <row r="722">
      <c r="C722" s="18"/>
      <c r="E722" s="10"/>
    </row>
    <row r="723">
      <c r="C723" s="18"/>
      <c r="E723" s="10"/>
    </row>
    <row r="724">
      <c r="C724" s="18"/>
      <c r="E724" s="10"/>
    </row>
    <row r="725">
      <c r="C725" s="18"/>
      <c r="E725" s="10"/>
    </row>
    <row r="726">
      <c r="C726" s="18"/>
      <c r="E726" s="10"/>
    </row>
    <row r="727">
      <c r="C727" s="18"/>
      <c r="E727" s="10"/>
    </row>
    <row r="728">
      <c r="C728" s="18"/>
      <c r="E728" s="10"/>
    </row>
    <row r="729">
      <c r="C729" s="18"/>
      <c r="E729" s="10"/>
    </row>
    <row r="730">
      <c r="C730" s="18"/>
      <c r="E730" s="10"/>
    </row>
    <row r="731">
      <c r="C731" s="18"/>
      <c r="E731" s="10"/>
    </row>
    <row r="732">
      <c r="C732" s="18"/>
      <c r="E732" s="10"/>
    </row>
    <row r="733">
      <c r="C733" s="18"/>
      <c r="E733" s="10"/>
    </row>
    <row r="734">
      <c r="C734" s="18"/>
      <c r="E734" s="10"/>
    </row>
    <row r="735">
      <c r="C735" s="18"/>
      <c r="E735" s="10"/>
    </row>
    <row r="736">
      <c r="C736" s="18"/>
      <c r="E736" s="10"/>
    </row>
    <row r="737">
      <c r="C737" s="18"/>
      <c r="E737" s="10"/>
    </row>
    <row r="738">
      <c r="C738" s="18"/>
      <c r="E738" s="10"/>
    </row>
    <row r="739">
      <c r="C739" s="18"/>
      <c r="E739" s="10"/>
    </row>
    <row r="740">
      <c r="C740" s="18"/>
      <c r="E740" s="10"/>
    </row>
    <row r="741">
      <c r="C741" s="18"/>
      <c r="E741" s="10"/>
    </row>
    <row r="742">
      <c r="C742" s="18"/>
      <c r="E742" s="10"/>
    </row>
    <row r="743">
      <c r="C743" s="18"/>
      <c r="E743" s="10"/>
    </row>
    <row r="744">
      <c r="C744" s="18"/>
      <c r="E744" s="10"/>
    </row>
    <row r="745">
      <c r="C745" s="18"/>
      <c r="E745" s="10"/>
    </row>
    <row r="746">
      <c r="C746" s="18"/>
      <c r="E746" s="10"/>
    </row>
    <row r="747">
      <c r="C747" s="18"/>
      <c r="E747" s="10"/>
    </row>
    <row r="748">
      <c r="C748" s="18"/>
      <c r="E748" s="10"/>
    </row>
    <row r="749">
      <c r="C749" s="18"/>
      <c r="E749" s="10"/>
    </row>
    <row r="750">
      <c r="C750" s="18"/>
      <c r="E750" s="10"/>
    </row>
    <row r="751">
      <c r="C751" s="18"/>
      <c r="E751" s="10"/>
    </row>
    <row r="752">
      <c r="C752" s="18"/>
      <c r="E752" s="10"/>
    </row>
    <row r="753">
      <c r="C753" s="18"/>
      <c r="E753" s="10"/>
    </row>
    <row r="754">
      <c r="C754" s="18"/>
      <c r="E754" s="10"/>
    </row>
    <row r="755">
      <c r="C755" s="18"/>
      <c r="E755" s="10"/>
    </row>
    <row r="756">
      <c r="C756" s="18"/>
      <c r="E756" s="10"/>
    </row>
    <row r="757">
      <c r="C757" s="18"/>
      <c r="E757" s="10"/>
    </row>
    <row r="758">
      <c r="C758" s="18"/>
      <c r="E758" s="10"/>
    </row>
    <row r="759">
      <c r="C759" s="18"/>
      <c r="E759" s="10"/>
    </row>
    <row r="760">
      <c r="C760" s="18"/>
      <c r="E760" s="10"/>
    </row>
    <row r="761">
      <c r="C761" s="18"/>
      <c r="E761" s="10"/>
    </row>
    <row r="762">
      <c r="C762" s="18"/>
      <c r="E762" s="10"/>
    </row>
    <row r="763">
      <c r="C763" s="18"/>
      <c r="E763" s="10"/>
    </row>
    <row r="764">
      <c r="C764" s="18"/>
      <c r="E764" s="10"/>
    </row>
    <row r="765">
      <c r="C765" s="18"/>
      <c r="E765" s="10"/>
    </row>
    <row r="766">
      <c r="C766" s="18"/>
      <c r="E766" s="10"/>
    </row>
    <row r="767">
      <c r="C767" s="18"/>
      <c r="E767" s="10"/>
    </row>
    <row r="768">
      <c r="C768" s="18"/>
      <c r="E768" s="10"/>
    </row>
    <row r="769">
      <c r="C769" s="18"/>
      <c r="E769" s="10"/>
    </row>
    <row r="770">
      <c r="C770" s="18"/>
      <c r="E770" s="10"/>
    </row>
    <row r="771">
      <c r="C771" s="18"/>
      <c r="E771" s="10"/>
    </row>
    <row r="772">
      <c r="C772" s="18"/>
      <c r="E772" s="10"/>
    </row>
    <row r="773">
      <c r="C773" s="18"/>
      <c r="E773" s="10"/>
    </row>
    <row r="774">
      <c r="C774" s="18"/>
      <c r="E774" s="10"/>
    </row>
    <row r="775">
      <c r="C775" s="18"/>
      <c r="E775" s="10"/>
    </row>
    <row r="776">
      <c r="C776" s="18"/>
      <c r="E776" s="10"/>
    </row>
    <row r="777">
      <c r="C777" s="18"/>
      <c r="E777" s="10"/>
    </row>
    <row r="778">
      <c r="C778" s="18"/>
      <c r="E778" s="10"/>
    </row>
    <row r="779">
      <c r="C779" s="18"/>
      <c r="E779" s="10"/>
    </row>
    <row r="780">
      <c r="C780" s="18"/>
      <c r="E780" s="10"/>
    </row>
    <row r="781">
      <c r="C781" s="18"/>
      <c r="E781" s="10"/>
    </row>
    <row r="782">
      <c r="C782" s="18"/>
      <c r="E782" s="10"/>
    </row>
    <row r="783">
      <c r="C783" s="18"/>
      <c r="E783" s="10"/>
    </row>
    <row r="784">
      <c r="C784" s="18"/>
      <c r="E784" s="10"/>
    </row>
    <row r="785">
      <c r="C785" s="18"/>
      <c r="E785" s="10"/>
    </row>
    <row r="786">
      <c r="C786" s="18"/>
      <c r="E786" s="10"/>
    </row>
    <row r="787">
      <c r="C787" s="18"/>
      <c r="E787" s="10"/>
    </row>
    <row r="788">
      <c r="C788" s="18"/>
      <c r="E788" s="10"/>
    </row>
    <row r="789">
      <c r="C789" s="18"/>
      <c r="E789" s="10"/>
    </row>
    <row r="790">
      <c r="C790" s="18"/>
      <c r="E790" s="10"/>
    </row>
    <row r="791">
      <c r="C791" s="18"/>
      <c r="E791" s="10"/>
    </row>
    <row r="792">
      <c r="C792" s="18"/>
      <c r="E792" s="10"/>
    </row>
    <row r="793">
      <c r="C793" s="18"/>
      <c r="E793" s="10"/>
    </row>
    <row r="794">
      <c r="C794" s="18"/>
      <c r="E794" s="10"/>
    </row>
    <row r="795">
      <c r="C795" s="18"/>
      <c r="E795" s="10"/>
    </row>
    <row r="796">
      <c r="C796" s="18"/>
      <c r="E796" s="10"/>
    </row>
    <row r="797">
      <c r="C797" s="18"/>
      <c r="E797" s="10"/>
    </row>
    <row r="798">
      <c r="C798" s="18"/>
      <c r="E798" s="10"/>
    </row>
    <row r="799">
      <c r="C799" s="18"/>
      <c r="E799" s="10"/>
    </row>
    <row r="800">
      <c r="C800" s="18"/>
      <c r="E800" s="10"/>
    </row>
    <row r="801">
      <c r="C801" s="18"/>
      <c r="E801" s="10"/>
    </row>
    <row r="802">
      <c r="C802" s="18"/>
      <c r="E802" s="10"/>
    </row>
    <row r="803">
      <c r="C803" s="18"/>
      <c r="E803" s="10"/>
    </row>
    <row r="804">
      <c r="C804" s="18"/>
      <c r="E804" s="10"/>
    </row>
    <row r="805">
      <c r="C805" s="18"/>
      <c r="E805" s="10"/>
    </row>
    <row r="806">
      <c r="C806" s="18"/>
      <c r="E806" s="10"/>
    </row>
    <row r="807">
      <c r="C807" s="18"/>
      <c r="E807" s="10"/>
    </row>
    <row r="808">
      <c r="C808" s="18"/>
      <c r="E808" s="10"/>
    </row>
    <row r="809">
      <c r="C809" s="18"/>
      <c r="E809" s="10"/>
    </row>
    <row r="810">
      <c r="C810" s="18"/>
      <c r="E810" s="10"/>
    </row>
    <row r="811">
      <c r="C811" s="18"/>
      <c r="E811" s="10"/>
    </row>
    <row r="812">
      <c r="C812" s="18"/>
      <c r="E812" s="10"/>
    </row>
    <row r="813">
      <c r="C813" s="18"/>
      <c r="E813" s="10"/>
    </row>
    <row r="814">
      <c r="C814" s="18"/>
      <c r="E814" s="10"/>
    </row>
    <row r="815">
      <c r="C815" s="18"/>
      <c r="E815" s="10"/>
    </row>
    <row r="816">
      <c r="C816" s="18"/>
      <c r="E816" s="10"/>
    </row>
    <row r="817">
      <c r="C817" s="18"/>
      <c r="E817" s="10"/>
    </row>
    <row r="818">
      <c r="C818" s="18"/>
      <c r="E818" s="10"/>
    </row>
    <row r="819">
      <c r="C819" s="18"/>
      <c r="E819" s="10"/>
    </row>
    <row r="820">
      <c r="C820" s="18"/>
      <c r="E820" s="10"/>
    </row>
    <row r="821">
      <c r="C821" s="18"/>
      <c r="E821" s="10"/>
    </row>
    <row r="822">
      <c r="C822" s="18"/>
      <c r="E822" s="10"/>
    </row>
    <row r="823">
      <c r="C823" s="18"/>
      <c r="E823" s="10"/>
    </row>
    <row r="824">
      <c r="C824" s="18"/>
      <c r="E824" s="10"/>
    </row>
    <row r="825">
      <c r="C825" s="18"/>
      <c r="E825" s="10"/>
    </row>
    <row r="826">
      <c r="C826" s="18"/>
      <c r="E826" s="10"/>
    </row>
    <row r="827">
      <c r="C827" s="18"/>
      <c r="E827" s="10"/>
    </row>
    <row r="828">
      <c r="C828" s="18"/>
      <c r="E828" s="10"/>
    </row>
    <row r="829">
      <c r="C829" s="18"/>
      <c r="E829" s="10"/>
    </row>
    <row r="830">
      <c r="C830" s="18"/>
      <c r="E830" s="10"/>
    </row>
    <row r="831">
      <c r="C831" s="18"/>
      <c r="E831" s="10"/>
    </row>
    <row r="832">
      <c r="C832" s="18"/>
      <c r="E832" s="10"/>
    </row>
    <row r="833">
      <c r="C833" s="18"/>
      <c r="E833" s="10"/>
    </row>
    <row r="834">
      <c r="C834" s="18"/>
      <c r="E834" s="10"/>
    </row>
    <row r="835">
      <c r="C835" s="18"/>
      <c r="E835" s="10"/>
    </row>
    <row r="836">
      <c r="C836" s="18"/>
      <c r="E836" s="10"/>
    </row>
    <row r="837">
      <c r="C837" s="18"/>
      <c r="E837" s="10"/>
    </row>
    <row r="838">
      <c r="C838" s="18"/>
      <c r="E838" s="10"/>
    </row>
    <row r="839">
      <c r="C839" s="18"/>
      <c r="E839" s="10"/>
    </row>
    <row r="840">
      <c r="C840" s="18"/>
      <c r="E840" s="10"/>
    </row>
    <row r="841">
      <c r="C841" s="18"/>
      <c r="E841" s="10"/>
    </row>
    <row r="842">
      <c r="C842" s="18"/>
      <c r="E842" s="10"/>
    </row>
    <row r="843">
      <c r="C843" s="18"/>
      <c r="E843" s="10"/>
    </row>
    <row r="844">
      <c r="C844" s="18"/>
      <c r="E844" s="10"/>
    </row>
    <row r="845">
      <c r="C845" s="18"/>
      <c r="E845" s="10"/>
    </row>
    <row r="846">
      <c r="C846" s="18"/>
      <c r="E846" s="10"/>
    </row>
    <row r="847">
      <c r="C847" s="18"/>
      <c r="E847" s="10"/>
    </row>
    <row r="848">
      <c r="C848" s="18"/>
      <c r="E848" s="10"/>
    </row>
    <row r="849">
      <c r="C849" s="18"/>
      <c r="E849" s="10"/>
    </row>
    <row r="850">
      <c r="C850" s="18"/>
      <c r="E850" s="10"/>
    </row>
    <row r="851">
      <c r="C851" s="18"/>
      <c r="E851" s="10"/>
    </row>
    <row r="852">
      <c r="C852" s="18"/>
      <c r="E852" s="10"/>
    </row>
    <row r="853">
      <c r="C853" s="18"/>
      <c r="E853" s="10"/>
    </row>
    <row r="854">
      <c r="C854" s="18"/>
      <c r="E854" s="10"/>
    </row>
    <row r="855">
      <c r="C855" s="18"/>
      <c r="E855" s="10"/>
    </row>
    <row r="856">
      <c r="C856" s="18"/>
      <c r="E856" s="10"/>
    </row>
    <row r="857">
      <c r="C857" s="18"/>
      <c r="E857" s="10"/>
    </row>
    <row r="858">
      <c r="C858" s="18"/>
      <c r="E858" s="10"/>
    </row>
    <row r="859">
      <c r="C859" s="18"/>
      <c r="E859" s="10"/>
    </row>
    <row r="860">
      <c r="C860" s="18"/>
      <c r="E860" s="10"/>
    </row>
    <row r="861">
      <c r="C861" s="18"/>
      <c r="E861" s="10"/>
    </row>
    <row r="862">
      <c r="C862" s="18"/>
      <c r="E862" s="10"/>
    </row>
    <row r="863">
      <c r="C863" s="18"/>
      <c r="E863" s="10"/>
    </row>
    <row r="864">
      <c r="C864" s="18"/>
      <c r="E864" s="10"/>
    </row>
    <row r="865">
      <c r="C865" s="18"/>
      <c r="E865" s="10"/>
    </row>
    <row r="866">
      <c r="C866" s="18"/>
      <c r="E866" s="10"/>
    </row>
    <row r="867">
      <c r="C867" s="18"/>
      <c r="E867" s="10"/>
    </row>
    <row r="868">
      <c r="C868" s="18"/>
      <c r="E868" s="10"/>
    </row>
    <row r="869">
      <c r="C869" s="18"/>
      <c r="E869" s="10"/>
    </row>
    <row r="870">
      <c r="C870" s="18"/>
      <c r="E870" s="10"/>
    </row>
    <row r="871">
      <c r="C871" s="18"/>
      <c r="E871" s="10"/>
    </row>
    <row r="872">
      <c r="C872" s="18"/>
      <c r="E872" s="10"/>
    </row>
    <row r="873">
      <c r="C873" s="18"/>
      <c r="E873" s="10"/>
    </row>
    <row r="874">
      <c r="C874" s="18"/>
      <c r="E874" s="10"/>
    </row>
    <row r="875">
      <c r="C875" s="18"/>
      <c r="E875" s="10"/>
    </row>
    <row r="876">
      <c r="C876" s="18"/>
      <c r="E876" s="10"/>
    </row>
    <row r="877">
      <c r="C877" s="18"/>
      <c r="E877" s="10"/>
    </row>
    <row r="878">
      <c r="C878" s="18"/>
      <c r="E878" s="10"/>
    </row>
    <row r="879">
      <c r="C879" s="18"/>
      <c r="E879" s="10"/>
    </row>
    <row r="880">
      <c r="C880" s="18"/>
      <c r="E880" s="10"/>
    </row>
    <row r="881">
      <c r="C881" s="18"/>
      <c r="E881" s="10"/>
    </row>
    <row r="882">
      <c r="C882" s="18"/>
      <c r="E882" s="10"/>
    </row>
    <row r="883">
      <c r="C883" s="18"/>
      <c r="E883" s="10"/>
    </row>
    <row r="884">
      <c r="C884" s="18"/>
      <c r="E884" s="10"/>
    </row>
    <row r="885">
      <c r="C885" s="18"/>
      <c r="E885" s="10"/>
    </row>
    <row r="886">
      <c r="C886" s="18"/>
      <c r="E886" s="10"/>
    </row>
    <row r="887">
      <c r="C887" s="18"/>
      <c r="E887" s="10"/>
    </row>
    <row r="888">
      <c r="C888" s="18"/>
      <c r="E888" s="10"/>
    </row>
    <row r="889">
      <c r="C889" s="18"/>
      <c r="E889" s="10"/>
    </row>
    <row r="890">
      <c r="C890" s="18"/>
      <c r="E890" s="10"/>
    </row>
    <row r="891">
      <c r="C891" s="18"/>
      <c r="E891" s="10"/>
    </row>
    <row r="892">
      <c r="C892" s="18"/>
      <c r="E892" s="10"/>
    </row>
    <row r="893">
      <c r="C893" s="18"/>
      <c r="E893" s="10"/>
    </row>
    <row r="894">
      <c r="C894" s="18"/>
      <c r="E894" s="10"/>
    </row>
    <row r="895">
      <c r="C895" s="18"/>
      <c r="E895" s="10"/>
    </row>
    <row r="896">
      <c r="C896" s="18"/>
      <c r="E896" s="10"/>
    </row>
    <row r="897">
      <c r="C897" s="18"/>
      <c r="E897" s="10"/>
    </row>
    <row r="898">
      <c r="C898" s="18"/>
      <c r="E898" s="10"/>
    </row>
    <row r="899">
      <c r="C899" s="18"/>
      <c r="E899" s="10"/>
    </row>
    <row r="900">
      <c r="C900" s="18"/>
      <c r="E900" s="10"/>
    </row>
    <row r="901">
      <c r="C901" s="18"/>
      <c r="E901" s="10"/>
    </row>
    <row r="902">
      <c r="C902" s="18"/>
      <c r="E902" s="10"/>
    </row>
    <row r="903">
      <c r="C903" s="18"/>
      <c r="E903" s="10"/>
    </row>
    <row r="904">
      <c r="C904" s="18"/>
      <c r="E904" s="10"/>
    </row>
    <row r="905">
      <c r="C905" s="18"/>
      <c r="E905" s="10"/>
    </row>
    <row r="906">
      <c r="C906" s="18"/>
      <c r="E906" s="10"/>
    </row>
    <row r="907">
      <c r="C907" s="18"/>
      <c r="E907" s="10"/>
    </row>
    <row r="908">
      <c r="C908" s="18"/>
      <c r="E908" s="10"/>
    </row>
    <row r="909">
      <c r="C909" s="18"/>
      <c r="E909" s="10"/>
    </row>
    <row r="910">
      <c r="C910" s="18"/>
      <c r="E910" s="10"/>
    </row>
    <row r="911">
      <c r="C911" s="18"/>
      <c r="E911" s="10"/>
    </row>
    <row r="912">
      <c r="C912" s="18"/>
      <c r="E912" s="10"/>
    </row>
    <row r="913">
      <c r="C913" s="18"/>
      <c r="E913" s="10"/>
    </row>
    <row r="914">
      <c r="C914" s="18"/>
      <c r="E914" s="10"/>
    </row>
    <row r="915">
      <c r="C915" s="18"/>
      <c r="E915" s="10"/>
    </row>
    <row r="916">
      <c r="C916" s="18"/>
      <c r="E916" s="10"/>
    </row>
    <row r="917">
      <c r="C917" s="18"/>
      <c r="E917" s="10"/>
    </row>
    <row r="918">
      <c r="C918" s="18"/>
      <c r="E918" s="10"/>
    </row>
    <row r="919">
      <c r="C919" s="18"/>
      <c r="E919" s="10"/>
    </row>
    <row r="920">
      <c r="C920" s="18"/>
      <c r="E920" s="10"/>
    </row>
    <row r="921">
      <c r="C921" s="18"/>
      <c r="E921" s="10"/>
    </row>
    <row r="922">
      <c r="C922" s="18"/>
      <c r="E922" s="10"/>
    </row>
    <row r="923">
      <c r="C923" s="18"/>
      <c r="E923" s="10"/>
    </row>
    <row r="924">
      <c r="C924" s="18"/>
      <c r="E924" s="10"/>
    </row>
    <row r="925">
      <c r="C925" s="18"/>
      <c r="E925" s="10"/>
    </row>
    <row r="926">
      <c r="C926" s="18"/>
      <c r="E926" s="10"/>
    </row>
    <row r="927">
      <c r="C927" s="18"/>
      <c r="E927" s="10"/>
    </row>
    <row r="928">
      <c r="C928" s="18"/>
      <c r="E928" s="10"/>
    </row>
    <row r="929">
      <c r="C929" s="18"/>
      <c r="E929" s="10"/>
    </row>
    <row r="930">
      <c r="C930" s="18"/>
      <c r="E930" s="10"/>
    </row>
    <row r="931">
      <c r="C931" s="18"/>
      <c r="E931" s="10"/>
    </row>
    <row r="932">
      <c r="C932" s="18"/>
      <c r="E932" s="10"/>
    </row>
    <row r="933">
      <c r="C933" s="18"/>
      <c r="E933" s="10"/>
    </row>
    <row r="934">
      <c r="C934" s="18"/>
      <c r="E934" s="10"/>
    </row>
    <row r="935">
      <c r="C935" s="18"/>
      <c r="E935" s="10"/>
    </row>
    <row r="936">
      <c r="C936" s="18"/>
      <c r="E936" s="10"/>
    </row>
    <row r="937">
      <c r="C937" s="18"/>
      <c r="E937" s="10"/>
    </row>
    <row r="938">
      <c r="C938" s="18"/>
      <c r="E938" s="10"/>
    </row>
    <row r="939">
      <c r="C939" s="18"/>
      <c r="E939" s="10"/>
    </row>
    <row r="940">
      <c r="C940" s="18"/>
      <c r="E940" s="10"/>
    </row>
    <row r="941">
      <c r="C941" s="18"/>
      <c r="E941" s="10"/>
    </row>
    <row r="942">
      <c r="C942" s="18"/>
      <c r="E942" s="10"/>
    </row>
    <row r="943">
      <c r="C943" s="18"/>
      <c r="E943" s="10"/>
    </row>
    <row r="944">
      <c r="C944" s="18"/>
      <c r="E944" s="10"/>
    </row>
    <row r="945">
      <c r="C945" s="18"/>
      <c r="E945" s="10"/>
    </row>
    <row r="946">
      <c r="C946" s="18"/>
      <c r="E946" s="10"/>
    </row>
    <row r="947">
      <c r="C947" s="18"/>
      <c r="E947" s="10"/>
    </row>
    <row r="948">
      <c r="C948" s="18"/>
      <c r="E948" s="10"/>
    </row>
    <row r="949">
      <c r="C949" s="18"/>
      <c r="E949" s="10"/>
    </row>
    <row r="950">
      <c r="C950" s="18"/>
      <c r="E950" s="10"/>
    </row>
    <row r="951">
      <c r="C951" s="18"/>
      <c r="E951" s="10"/>
    </row>
    <row r="952">
      <c r="C952" s="18"/>
      <c r="E952" s="10"/>
    </row>
    <row r="953">
      <c r="C953" s="18"/>
      <c r="E953" s="10"/>
    </row>
    <row r="954">
      <c r="C954" s="18"/>
      <c r="E954" s="10"/>
    </row>
    <row r="955">
      <c r="C955" s="18"/>
      <c r="E955" s="10"/>
    </row>
    <row r="956">
      <c r="C956" s="18"/>
      <c r="E956" s="10"/>
    </row>
    <row r="957">
      <c r="C957" s="18"/>
      <c r="E957" s="10"/>
    </row>
    <row r="958">
      <c r="C958" s="18"/>
      <c r="E958" s="10"/>
    </row>
    <row r="959">
      <c r="C959" s="18"/>
      <c r="E959" s="10"/>
    </row>
    <row r="960">
      <c r="C960" s="18"/>
      <c r="E960" s="10"/>
    </row>
    <row r="961">
      <c r="C961" s="18"/>
      <c r="E961" s="10"/>
    </row>
    <row r="962">
      <c r="C962" s="18"/>
      <c r="E962" s="10"/>
    </row>
    <row r="963">
      <c r="C963" s="18"/>
      <c r="E963" s="10"/>
    </row>
    <row r="964">
      <c r="C964" s="18"/>
      <c r="E964" s="10"/>
    </row>
    <row r="965">
      <c r="C965" s="18"/>
      <c r="E965" s="10"/>
    </row>
    <row r="966">
      <c r="C966" s="18"/>
      <c r="E966" s="10"/>
    </row>
    <row r="967">
      <c r="C967" s="18"/>
      <c r="E967" s="10"/>
    </row>
    <row r="968">
      <c r="C968" s="18"/>
      <c r="E968" s="10"/>
    </row>
    <row r="969">
      <c r="C969" s="18"/>
      <c r="E969" s="10"/>
    </row>
    <row r="970">
      <c r="C970" s="18"/>
      <c r="E970" s="10"/>
    </row>
    <row r="971">
      <c r="C971" s="18"/>
      <c r="E971" s="10"/>
    </row>
    <row r="972">
      <c r="C972" s="18"/>
      <c r="E972" s="10"/>
    </row>
    <row r="973">
      <c r="C973" s="18"/>
      <c r="E973" s="10"/>
    </row>
    <row r="974">
      <c r="C974" s="18"/>
      <c r="E974" s="10"/>
    </row>
    <row r="975">
      <c r="C975" s="18"/>
      <c r="E975" s="10"/>
    </row>
    <row r="976">
      <c r="C976" s="18"/>
      <c r="E976" s="10"/>
    </row>
    <row r="977">
      <c r="C977" s="18"/>
      <c r="E977" s="10"/>
    </row>
    <row r="978">
      <c r="C978" s="18"/>
      <c r="E978" s="10"/>
    </row>
    <row r="979">
      <c r="C979" s="18"/>
      <c r="E979" s="10"/>
    </row>
    <row r="980">
      <c r="C980" s="18"/>
      <c r="E980" s="10"/>
    </row>
    <row r="981">
      <c r="C981" s="18"/>
      <c r="E981" s="10"/>
    </row>
    <row r="982">
      <c r="C982" s="18"/>
      <c r="E982" s="10"/>
    </row>
    <row r="983">
      <c r="C983" s="18"/>
      <c r="E983" s="10"/>
    </row>
    <row r="984">
      <c r="C984" s="18"/>
      <c r="E984" s="10"/>
    </row>
    <row r="985">
      <c r="C985" s="18"/>
      <c r="E985" s="10"/>
    </row>
    <row r="986">
      <c r="C986" s="18"/>
      <c r="E986" s="10"/>
    </row>
    <row r="987">
      <c r="C987" s="18"/>
      <c r="E987" s="10"/>
    </row>
    <row r="988">
      <c r="C988" s="18"/>
      <c r="E988" s="10"/>
    </row>
    <row r="989">
      <c r="C989" s="18"/>
      <c r="E989" s="10"/>
    </row>
    <row r="990">
      <c r="C990" s="18"/>
      <c r="E990" s="10"/>
    </row>
    <row r="991">
      <c r="C991" s="18"/>
      <c r="E991" s="10"/>
    </row>
    <row r="992">
      <c r="C992" s="18"/>
      <c r="E992" s="10"/>
    </row>
    <row r="993">
      <c r="C993" s="18"/>
      <c r="E993" s="10"/>
    </row>
    <row r="994">
      <c r="C994" s="18"/>
      <c r="E994" s="10"/>
    </row>
    <row r="995">
      <c r="C995" s="18"/>
      <c r="E995" s="10"/>
    </row>
    <row r="996">
      <c r="C996" s="18"/>
      <c r="E996" s="10"/>
    </row>
    <row r="997">
      <c r="C997" s="18"/>
      <c r="E997" s="10"/>
    </row>
    <row r="998">
      <c r="C998" s="18"/>
      <c r="E998" s="10"/>
    </row>
    <row r="999">
      <c r="C999" s="18"/>
      <c r="E999" s="10"/>
    </row>
    <row r="1000">
      <c r="C1000" s="18"/>
      <c r="E1000" s="10"/>
    </row>
  </sheetData>
  <dataValidations>
    <dataValidation type="list" allowBlank="1" sqref="C5:C1000">
      <formula1>"Sewa Tempat,Tip,Lain-lain"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83F04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0"/>
    <col customWidth="1" min="2" max="2" width="12.75"/>
    <col customWidth="1" min="3" max="3" width="5.38"/>
  </cols>
  <sheetData>
    <row r="1">
      <c r="A1" s="241" t="s">
        <v>236</v>
      </c>
      <c r="B1" s="241" t="s">
        <v>211</v>
      </c>
      <c r="C1" s="241" t="s">
        <v>237</v>
      </c>
    </row>
    <row r="2">
      <c r="A2" s="7" t="s">
        <v>238</v>
      </c>
      <c r="B2" s="7" t="s">
        <v>238</v>
      </c>
    </row>
    <row r="4">
      <c r="A4" s="7" t="s">
        <v>239</v>
      </c>
      <c r="B4" s="7" t="s">
        <v>239</v>
      </c>
    </row>
    <row r="5">
      <c r="A5" s="7" t="s">
        <v>240</v>
      </c>
      <c r="B5" s="7" t="s">
        <v>240</v>
      </c>
    </row>
    <row r="6">
      <c r="A6" s="7" t="s">
        <v>241</v>
      </c>
      <c r="B6" s="7" t="s">
        <v>241</v>
      </c>
    </row>
    <row r="7">
      <c r="A7" s="7" t="s">
        <v>242</v>
      </c>
      <c r="B7" s="7" t="s">
        <v>242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6.25"/>
    <col customWidth="1" min="3" max="3" width="11.38"/>
    <col customWidth="1" min="5" max="5" width="6.88"/>
    <col customWidth="1" min="6" max="6" width="17.5"/>
    <col customWidth="1" min="7" max="7" width="12.63"/>
    <col customWidth="1" min="9" max="9" width="14.63"/>
    <col customWidth="1" min="10" max="10" width="8.13"/>
    <col customWidth="1" min="11" max="11" width="15.0"/>
    <col customWidth="1" min="13" max="13" width="8.25"/>
    <col customWidth="1" min="14" max="14" width="19.0"/>
    <col customWidth="1" min="15" max="15" width="14.13"/>
    <col customWidth="1" min="17" max="17" width="9.13"/>
    <col customWidth="1" min="18" max="18" width="16.75"/>
    <col customWidth="1" min="20" max="20" width="6.88"/>
    <col customWidth="1" min="21" max="21" width="18.0"/>
  </cols>
  <sheetData>
    <row r="1">
      <c r="A1" s="242" t="s">
        <v>3</v>
      </c>
      <c r="B1" s="242" t="s">
        <v>243</v>
      </c>
      <c r="C1" s="242" t="s">
        <v>244</v>
      </c>
      <c r="D1" s="242" t="s">
        <v>245</v>
      </c>
      <c r="E1" s="242" t="s">
        <v>246</v>
      </c>
      <c r="F1" s="242" t="s">
        <v>247</v>
      </c>
      <c r="G1" s="242" t="s">
        <v>248</v>
      </c>
      <c r="H1" s="242" t="s">
        <v>249</v>
      </c>
      <c r="I1" s="242" t="s">
        <v>250</v>
      </c>
      <c r="J1" s="242" t="s">
        <v>251</v>
      </c>
      <c r="K1" s="242" t="s">
        <v>252</v>
      </c>
      <c r="L1" s="243"/>
      <c r="M1" s="243" t="str">
        <f>IFERROR(__xludf.DUMMYFUNCTION("QUERY({ARRAYFORMULA(IF(ISNUMBER(A2:A1000), YEAR(A2:A1000) &amp; ""-W"" &amp; TEXT(ISOWEEKNUM(A2:A1000), ""00""), """")) , B2:C1000}, ""SELECT Col1, SUM(Col2), SUM(Col3) WHERE Col1 &lt;&gt; '' GROUP BY Col1 ORDER BY Col1 ASC LABEL Col1 'Minggu', SUM(Col2) 'Pendapatan Mi"&amp;"ngguan', SUM(Col3) 'COGS Mingguan'"", 0)"),"Minggu")</f>
        <v>Minggu</v>
      </c>
      <c r="N1" s="243" t="str">
        <f>IFERROR(__xludf.DUMMYFUNCTION("""COMPUTED_VALUE"""),"Pendapatan Mingguan")</f>
        <v>Pendapatan Mingguan</v>
      </c>
      <c r="O1" s="243" t="str">
        <f>IFERROR(__xludf.DUMMYFUNCTION("""COMPUTED_VALUE"""),"COGS Mingguan")</f>
        <v>COGS Mingguan</v>
      </c>
      <c r="P1" s="243"/>
      <c r="Q1" s="243" t="str">
        <f>IFERROR(__xludf.DUMMYFUNCTION("IFERROR(QUERY({'Arsip Pengeluaran'!A2:D1000; 'Log Pengeluaran'!B5:E1000}, ""SELECT Col1, SUM(Col4) WHERE Col1 IS NOT NULL AND Col2 &lt;&gt; 'Bahan Baku' AND Col2 &lt;&gt; 'prive' AND Col2 &lt;&gt; 'Prive' GROUP BY Col1 LABEL Col1 'Tanggal', SUM(Col4) 'Pengeluaran Harian'"""&amp;", 0), {""Tanggal"" , ""Pengeluaran Harian""})"),"Tanggal")</f>
        <v>Tanggal</v>
      </c>
      <c r="R1" s="243" t="str">
        <f>IFERROR(__xludf.DUMMYFUNCTION("""COMPUTED_VALUE"""),"Pengeluaran Harian")</f>
        <v>Pengeluaran Harian</v>
      </c>
      <c r="S1" s="243"/>
      <c r="T1" s="243" t="str">
        <f>IFERROR(__xludf.DUMMYFUNCTION("IFERROR(QUERY({ARRAYFORMULA(IF({'Arsip Pengeluaran'!A2:A1000; 'Log Pengeluaran'!B5:B1000}="""", """", TEXT(IF(DAY({'Arsip Pengeluaran'!A2:A1000; 'Log Pengeluaran'!B5:B1000})&gt;=7, {'Arsip Pengeluaran'!A2:A1000; 'Log Pengeluaran'!B5:B1000}, EDATE({'Arsip Pen"&amp;"geluaran'!A2:A1000; 'Log Pengeluaran'!B5:B1000}, -1)), ""yyyy-mm"") &amp; "" (Tgl 7-6)"")) , {'Arsip Pengeluaran'!D2:D1000; 'Log Pengeluaran'!E5:E1000}}, ""SELECT Col1, SUM(Col2) WHERE Col1 IS NOT NULL GROUP BY Col1 LABEL Col1 'Periode', SUM(Col2) 'Total Peng"&amp;"eluaran'"", 0), {""Periode"" , ""Total Pengeluaran""})"),"Periode")</f>
        <v>Periode</v>
      </c>
      <c r="U1" s="243" t="str">
        <f>IFERROR(__xludf.DUMMYFUNCTION("""COMPUTED_VALUE"""),"Total Pengeluaran")</f>
        <v>Total Pengeluaran</v>
      </c>
      <c r="V1" s="244" t="s">
        <v>253</v>
      </c>
      <c r="W1" s="244" t="s">
        <v>254</v>
      </c>
      <c r="X1" s="7" t="s">
        <v>255</v>
      </c>
      <c r="Y1" s="10">
        <f>SUM(B:B)</f>
        <v>53797500</v>
      </c>
      <c r="Z1" s="18" t="str">
        <f>TEXT(TODAY(), "yyyy-mm")</f>
        <v>2026-09</v>
      </c>
      <c r="AC1" s="7" t="s">
        <v>4</v>
      </c>
      <c r="AD1" s="7" t="s">
        <v>2</v>
      </c>
    </row>
    <row r="2">
      <c r="A2" s="17">
        <f t="array" ref="A2:A32">TRANSPOSE('Buku Kasir'!C5:AG5)</f>
        <v>46246</v>
      </c>
      <c r="B2" s="18">
        <f t="array" ref="B2:B32">IF(TRANSPOSE('Buku Kasir'!C5:AG5)="", "", TRANSPOSE('Buku Kasir'!C1:AG1) + SUMIF('Log Pemasukan'!B:B, TRANSPOSE('Buku Kasir'!C5:AG5), 'Log Pemasukan'!E:E))</f>
        <v>9455000</v>
      </c>
      <c r="C2" s="10">
        <f t="array" ref="C2:C32">TRANSPOSE('Buku Kasir'!C2:AG2)</f>
        <v>3165595</v>
      </c>
      <c r="D2" s="223">
        <f t="array" ref="D2:D1000">IF(A2:A1000="","",IFERROR(VLOOKUP(A2:A1000,Q:R,2,FALSE),0))</f>
        <v>0</v>
      </c>
      <c r="E2" s="223">
        <f t="array" ref="E2:E1000">IF(A2:A1000="","",B2:B1000-C2:C1000-D2:D1000)</f>
        <v>6289405</v>
      </c>
      <c r="F2" s="245" t="str">
        <f t="array" ref="F2:F1000">IF(A2:A1000="", "", TEXT(IF(DAY(A2:A1000)&gt;=7, A2:A1000, EDATE(A2:A1000, -1)), "yyyy-mm") &amp; " (Tgl 7-6)")</f>
        <v>2026-08 (Tgl 7-6)</v>
      </c>
      <c r="G2" s="7"/>
      <c r="H2" s="7"/>
      <c r="I2" s="18">
        <f t="array" ref="I2:I1000">IF(F2:F1000="", "", IFERROR(VLOOKUP(F2:F1000, T:U, 2, FALSE), 0))</f>
        <v>46724872</v>
      </c>
      <c r="J2" s="18">
        <f t="array" ref="J2:J1000">IF(F2:F1000="", "", G2:G1000-H2:H1000-I2:I1000)</f>
        <v>-46724872</v>
      </c>
      <c r="K2" s="18">
        <f t="array" ref="K2:K1000">IF(F2:F1000="", "", G2:G1000-H2:H1000)</f>
        <v>0</v>
      </c>
      <c r="M2" s="18" t="str">
        <f>IFERROR(__xludf.DUMMYFUNCTION("""COMPUTED_VALUE"""),"2026-W33")</f>
        <v>2026-W33</v>
      </c>
      <c r="N2" s="18">
        <f>IFERROR(__xludf.DUMMYFUNCTION("""COMPUTED_VALUE"""),1.7662E7)</f>
        <v>17662000</v>
      </c>
      <c r="O2" s="18">
        <f>IFERROR(__xludf.DUMMYFUNCTION("""COMPUTED_VALUE"""),5209186.0)</f>
        <v>5209186</v>
      </c>
      <c r="Q2" s="18">
        <f>IFERROR(__xludf.DUMMYFUNCTION("""COMPUTED_VALUE"""),46248.0)</f>
        <v>46248</v>
      </c>
      <c r="R2" s="18">
        <f>IFERROR(__xludf.DUMMYFUNCTION("""COMPUTED_VALUE"""),3898000.0)</f>
        <v>3898000</v>
      </c>
      <c r="T2" s="18" t="str">
        <f>IFERROR(__xludf.DUMMYFUNCTION("""COMPUTED_VALUE"""),"2026-08 (Tgl 7-6)")</f>
        <v>2026-08 (Tgl 7-6)</v>
      </c>
      <c r="U2" s="18">
        <f>IFERROR(__xludf.DUMMYFUNCTION("""COMPUTED_VALUE"""),4.6724872E7)</f>
        <v>46724872</v>
      </c>
      <c r="V2" s="7" t="s">
        <v>266</v>
      </c>
      <c r="W2" s="246">
        <f>SUMIF('Arsip Pengeluaran'!B:B, "Bahan Baku", 'Arsip Pengeluaran'!D:D) + SUMIF('Log Pengeluaran'!C:C, "Bahan Baku", 'Log Pengeluaran'!E:E)</f>
        <v>15752572</v>
      </c>
      <c r="X2" s="7" t="s">
        <v>269</v>
      </c>
      <c r="Y2" s="10">
        <f>SUM(B:B)-SUM(C:C)-SUM(R:R)</f>
        <v>11360945</v>
      </c>
      <c r="AC2" s="18" t="str">
        <f>IFERROR(__xludf.DUMMYFUNCTION("IFERROR(QUERY({'Arsip Pengeluaran'!B2:B1000 , 'Arsip Pengeluaran'!D2:D1000 ; 'Log Pengeluaran'!C5:C1000 , 'Log Pengeluaran'!E5:E1000}, ""SELECT Col1, SUM(Col2) WHERE Col1 IS NOT NULL AND Col1 &lt;&gt; '' AND Col2 IS NOT NULL GROUP BY Col1 LABEL Col1 '', SUM(Col"&amp;"2) ''"", 0), {""Tidak Ada Pengeluaran"" , 0})"),"Bahan Baku")</f>
        <v>Bahan Baku</v>
      </c>
      <c r="AD2" s="18">
        <f>IFERROR(__xludf.DUMMYFUNCTION("""COMPUTED_VALUE"""),1.5752572E7)</f>
        <v>15752572</v>
      </c>
    </row>
    <row r="3">
      <c r="A3" s="17">
        <v>46247.0</v>
      </c>
      <c r="B3" s="18">
        <v>0.0</v>
      </c>
      <c r="C3" s="10">
        <v>0.0</v>
      </c>
      <c r="D3" s="223">
        <v>0.0</v>
      </c>
      <c r="E3" s="223">
        <v>0.0</v>
      </c>
      <c r="F3" s="245" t="s">
        <v>270</v>
      </c>
      <c r="G3" s="7"/>
      <c r="H3" s="7"/>
      <c r="I3" s="18">
        <v>4.6724872E7</v>
      </c>
      <c r="J3" s="18">
        <v>-4.6724872E7</v>
      </c>
      <c r="K3" s="18">
        <v>0.0</v>
      </c>
      <c r="M3" s="18" t="str">
        <f>IFERROR(__xludf.DUMMYFUNCTION("""COMPUTED_VALUE"""),"2026-W34")</f>
        <v>2026-W34</v>
      </c>
      <c r="N3" s="18">
        <f>IFERROR(__xludf.DUMMYFUNCTION("""COMPUTED_VALUE"""),1.3569E7)</f>
        <v>13569000</v>
      </c>
      <c r="O3" s="18">
        <f>IFERROR(__xludf.DUMMYFUNCTION("""COMPUTED_VALUE"""),2711608.0)</f>
        <v>2711608</v>
      </c>
      <c r="Q3" s="18">
        <f>IFERROR(__xludf.DUMMYFUNCTION("""COMPUTED_VALUE"""),46249.0)</f>
        <v>46249</v>
      </c>
      <c r="R3" s="18">
        <f>IFERROR(__xludf.DUMMYFUNCTION("""COMPUTED_VALUE"""),81800.0)</f>
        <v>81800</v>
      </c>
      <c r="T3" s="18" t="str">
        <f>IFERROR(__xludf.DUMMYFUNCTION("""COMPUTED_VALUE"""),"2026-09 (Tgl 7-6)")</f>
        <v>2026-09 (Tgl 7-6)</v>
      </c>
      <c r="U3" s="18">
        <f>IFERROR(__xludf.DUMMYFUNCTION("""COMPUTED_VALUE"""),8129100.0)</f>
        <v>8129100</v>
      </c>
      <c r="V3" s="7" t="s">
        <v>271</v>
      </c>
      <c r="W3" s="246">
        <f>SUMIF('Arsip Pengeluaran'!B:B, "prive", 'Arsip Pengeluaran'!D:D) + SUMIF('Log Pengeluaran'!C:C, "prive", 'Log Pengeluaran'!E:E)</f>
        <v>11788100</v>
      </c>
      <c r="X3" s="7" t="s">
        <v>2</v>
      </c>
      <c r="Y3" s="223">
        <f>SUM(D2:D1000)</f>
        <v>27313300</v>
      </c>
      <c r="AC3" s="18" t="str">
        <f>IFERROR(__xludf.DUMMYFUNCTION("""COMPUTED_VALUE"""),"Gaji")</f>
        <v>Gaji</v>
      </c>
      <c r="AD3" s="18">
        <f>IFERROR(__xludf.DUMMYFUNCTION("""COMPUTED_VALUE"""),7405000.0)</f>
        <v>7405000</v>
      </c>
    </row>
    <row r="4">
      <c r="A4" s="17">
        <v>46248.0</v>
      </c>
      <c r="B4" s="18">
        <v>1023500.0</v>
      </c>
      <c r="C4" s="10">
        <v>256481.0</v>
      </c>
      <c r="D4" s="223">
        <v>3898000.0</v>
      </c>
      <c r="E4" s="223">
        <v>-3130981.0</v>
      </c>
      <c r="F4" s="18" t="s">
        <v>270</v>
      </c>
      <c r="I4" s="18">
        <v>4.6724872E7</v>
      </c>
      <c r="J4" s="18">
        <v>-4.6724872E7</v>
      </c>
      <c r="K4" s="18">
        <v>0.0</v>
      </c>
      <c r="M4" s="18" t="str">
        <f>IFERROR(__xludf.DUMMYFUNCTION("""COMPUTED_VALUE"""),"2026-W35")</f>
        <v>2026-W35</v>
      </c>
      <c r="N4" s="18">
        <f>IFERROR(__xludf.DUMMYFUNCTION("""COMPUTED_VALUE"""),8689000.0)</f>
        <v>8689000</v>
      </c>
      <c r="O4" s="18">
        <f>IFERROR(__xludf.DUMMYFUNCTION("""COMPUTED_VALUE"""),2592797.0)</f>
        <v>2592797</v>
      </c>
      <c r="Q4" s="18">
        <f>IFERROR(__xludf.DUMMYFUNCTION("""COMPUTED_VALUE"""),46250.0)</f>
        <v>46250</v>
      </c>
      <c r="R4" s="18">
        <f>IFERROR(__xludf.DUMMYFUNCTION("""COMPUTED_VALUE"""),125000.0)</f>
        <v>125000</v>
      </c>
      <c r="X4" s="247" t="s">
        <v>272</v>
      </c>
      <c r="Y4" s="10">
        <f>SUM(B:B)-SUM(C:C)</f>
        <v>38674245</v>
      </c>
      <c r="AC4" s="18" t="str">
        <f>IFERROR(__xludf.DUMMYFUNCTION("""COMPUTED_VALUE"""),"Lain-lain")</f>
        <v>Lain-lain</v>
      </c>
      <c r="AD4" s="18">
        <f>IFERROR(__xludf.DUMMYFUNCTION("""COMPUTED_VALUE"""),1061800.0)</f>
        <v>1061800</v>
      </c>
    </row>
    <row r="5">
      <c r="A5" s="17">
        <v>46249.0</v>
      </c>
      <c r="B5" s="18">
        <v>4316000.0</v>
      </c>
      <c r="C5" s="10">
        <v>848281.0</v>
      </c>
      <c r="D5" s="223">
        <v>81800.0</v>
      </c>
      <c r="E5" s="223">
        <v>3385919.0</v>
      </c>
      <c r="F5" s="18" t="s">
        <v>270</v>
      </c>
      <c r="I5" s="18">
        <v>4.6724872E7</v>
      </c>
      <c r="J5" s="18">
        <v>-4.6724872E7</v>
      </c>
      <c r="K5" s="18">
        <v>0.0</v>
      </c>
      <c r="M5" s="18" t="str">
        <f>IFERROR(__xludf.DUMMYFUNCTION("""COMPUTED_VALUE"""),"2026-W36")</f>
        <v>2026-W36</v>
      </c>
      <c r="N5" s="18">
        <f>IFERROR(__xludf.DUMMYFUNCTION("""COMPUTED_VALUE"""),8275000.0)</f>
        <v>8275000</v>
      </c>
      <c r="O5" s="18">
        <f>IFERROR(__xludf.DUMMYFUNCTION("""COMPUTED_VALUE"""),2715637.0)</f>
        <v>2715637</v>
      </c>
      <c r="Q5" s="18">
        <f>IFERROR(__xludf.DUMMYFUNCTION("""COMPUTED_VALUE"""),46251.0)</f>
        <v>46251</v>
      </c>
      <c r="R5" s="18">
        <f>IFERROR(__xludf.DUMMYFUNCTION("""COMPUTED_VALUE"""),400000.0)</f>
        <v>400000</v>
      </c>
      <c r="X5" s="18" t="s">
        <v>273</v>
      </c>
      <c r="Y5" s="10">
        <f>SUM(C:C)</f>
        <v>15123255</v>
      </c>
      <c r="AC5" s="18" t="str">
        <f>IFERROR(__xludf.DUMMYFUNCTION("""COMPUTED_VALUE"""),"Operasional")</f>
        <v>Operasional</v>
      </c>
      <c r="AD5" s="18">
        <f>IFERROR(__xludf.DUMMYFUNCTION("""COMPUTED_VALUE"""),5065500.0)</f>
        <v>5065500</v>
      </c>
    </row>
    <row r="6">
      <c r="A6" s="17">
        <v>46250.0</v>
      </c>
      <c r="B6" s="18">
        <v>2867500.0</v>
      </c>
      <c r="C6" s="10">
        <v>938829.0</v>
      </c>
      <c r="D6" s="223">
        <v>125000.0</v>
      </c>
      <c r="E6" s="223">
        <v>1803671.0</v>
      </c>
      <c r="F6" s="18" t="s">
        <v>270</v>
      </c>
      <c r="I6" s="18">
        <v>4.6724872E7</v>
      </c>
      <c r="J6" s="18">
        <v>-4.6724872E7</v>
      </c>
      <c r="K6" s="18">
        <v>0.0</v>
      </c>
      <c r="M6" s="18" t="str">
        <f>IFERROR(__xludf.DUMMYFUNCTION("""COMPUTED_VALUE"""),"2026-W37")</f>
        <v>2026-W37</v>
      </c>
      <c r="N6" s="18">
        <f>IFERROR(__xludf.DUMMYFUNCTION("""COMPUTED_VALUE"""),5602500.0)</f>
        <v>5602500</v>
      </c>
      <c r="O6" s="18">
        <f>IFERROR(__xludf.DUMMYFUNCTION("""COMPUTED_VALUE"""),1894027.0)</f>
        <v>1894027</v>
      </c>
      <c r="Q6" s="18">
        <f>IFERROR(__xludf.DUMMYFUNCTION("""COMPUTED_VALUE"""),46252.0)</f>
        <v>46252</v>
      </c>
      <c r="R6" s="18">
        <f>IFERROR(__xludf.DUMMYFUNCTION("""COMPUTED_VALUE"""),195000.0)</f>
        <v>195000</v>
      </c>
      <c r="X6" s="7" t="s">
        <v>274</v>
      </c>
      <c r="Y6" s="246">
        <f t="shared" ref="Y6:Y7" si="1">W2</f>
        <v>15752572</v>
      </c>
      <c r="AC6" s="18" t="str">
        <f>IFERROR(__xludf.DUMMYFUNCTION("""COMPUTED_VALUE"""),"Operasional Sistem")</f>
        <v>Operasional Sistem</v>
      </c>
      <c r="AD6" s="18">
        <f>IFERROR(__xludf.DUMMYFUNCTION("""COMPUTED_VALUE"""),9000000.0)</f>
        <v>9000000</v>
      </c>
    </row>
    <row r="7">
      <c r="A7" s="17">
        <v>46251.0</v>
      </c>
      <c r="B7" s="18">
        <v>2132500.0</v>
      </c>
      <c r="C7" s="10">
        <v>382947.0</v>
      </c>
      <c r="D7" s="223">
        <v>400000.0</v>
      </c>
      <c r="E7" s="223">
        <v>1349553.0</v>
      </c>
      <c r="F7" s="18" t="s">
        <v>270</v>
      </c>
      <c r="I7" s="18">
        <v>4.6724872E7</v>
      </c>
      <c r="J7" s="18">
        <v>-4.6724872E7</v>
      </c>
      <c r="K7" s="18">
        <v>0.0</v>
      </c>
      <c r="Q7" s="18">
        <f>IFERROR(__xludf.DUMMYFUNCTION("""COMPUTED_VALUE"""),46253.0)</f>
        <v>46253</v>
      </c>
      <c r="R7" s="18">
        <f>IFERROR(__xludf.DUMMYFUNCTION("""COMPUTED_VALUE"""),2215000.0)</f>
        <v>2215000</v>
      </c>
      <c r="X7" s="7" t="s">
        <v>275</v>
      </c>
      <c r="Y7" s="246">
        <f t="shared" si="1"/>
        <v>11788100</v>
      </c>
      <c r="AC7" s="18" t="str">
        <f>IFERROR(__xludf.DUMMYFUNCTION("""COMPUTED_VALUE"""),"Pemasaran")</f>
        <v>Pemasaran</v>
      </c>
      <c r="AD7" s="18">
        <f>IFERROR(__xludf.DUMMYFUNCTION("""COMPUTED_VALUE"""),911000.0)</f>
        <v>911000</v>
      </c>
    </row>
    <row r="8">
      <c r="A8" s="17">
        <v>46252.0</v>
      </c>
      <c r="B8" s="18">
        <v>909000.0</v>
      </c>
      <c r="C8" s="10">
        <v>298501.0</v>
      </c>
      <c r="D8" s="223">
        <v>195000.0</v>
      </c>
      <c r="E8" s="223">
        <v>415499.0</v>
      </c>
      <c r="F8" s="18" t="s">
        <v>270</v>
      </c>
      <c r="I8" s="18">
        <v>4.6724872E7</v>
      </c>
      <c r="J8" s="18">
        <v>-4.6724872E7</v>
      </c>
      <c r="K8" s="18">
        <v>0.0</v>
      </c>
      <c r="Q8" s="18">
        <f>IFERROR(__xludf.DUMMYFUNCTION("""COMPUTED_VALUE"""),46254.0)</f>
        <v>46254</v>
      </c>
      <c r="R8" s="18">
        <f>IFERROR(__xludf.DUMMYFUNCTION("""COMPUTED_VALUE"""),1695000.0)</f>
        <v>1695000</v>
      </c>
      <c r="AC8" s="18" t="str">
        <f>IFERROR(__xludf.DUMMYFUNCTION("""COMPUTED_VALUE"""),"prive")</f>
        <v>prive</v>
      </c>
      <c r="AD8" s="18">
        <f>IFERROR(__xludf.DUMMYFUNCTION("""COMPUTED_VALUE"""),1.17881E7)</f>
        <v>11788100</v>
      </c>
    </row>
    <row r="9">
      <c r="A9" s="17">
        <v>46253.0</v>
      </c>
      <c r="B9" s="18">
        <v>1389000.0</v>
      </c>
      <c r="C9" s="10">
        <v>424826.0</v>
      </c>
      <c r="D9" s="223">
        <v>2215000.0</v>
      </c>
      <c r="E9" s="223">
        <v>-1250826.0</v>
      </c>
      <c r="F9" s="18" t="s">
        <v>270</v>
      </c>
      <c r="I9" s="18">
        <v>4.6724872E7</v>
      </c>
      <c r="J9" s="18">
        <v>-4.6724872E7</v>
      </c>
      <c r="K9" s="18">
        <v>0.0</v>
      </c>
      <c r="Q9" s="18">
        <f>IFERROR(__xludf.DUMMYFUNCTION("""COMPUTED_VALUE"""),46255.0)</f>
        <v>46255</v>
      </c>
      <c r="R9" s="18">
        <f>IFERROR(__xludf.DUMMYFUNCTION("""COMPUTED_VALUE"""),448000.0)</f>
        <v>448000</v>
      </c>
      <c r="AC9" s="18" t="str">
        <f>IFERROR(__xludf.DUMMYFUNCTION("""COMPUTED_VALUE"""),"sub con")</f>
        <v>sub con</v>
      </c>
      <c r="AD9" s="18">
        <f>IFERROR(__xludf.DUMMYFUNCTION("""COMPUTED_VALUE"""),3870000.0)</f>
        <v>3870000</v>
      </c>
    </row>
    <row r="10">
      <c r="A10" s="17">
        <v>46254.0</v>
      </c>
      <c r="B10" s="18">
        <v>4777000.0</v>
      </c>
      <c r="C10" s="10">
        <v>112297.0</v>
      </c>
      <c r="D10" s="223">
        <v>1695000.0</v>
      </c>
      <c r="E10" s="223">
        <v>2969703.0</v>
      </c>
      <c r="F10" s="18" t="s">
        <v>270</v>
      </c>
      <c r="I10" s="18">
        <v>4.6724872E7</v>
      </c>
      <c r="J10" s="18">
        <v>-4.6724872E7</v>
      </c>
      <c r="K10" s="18">
        <v>0.0</v>
      </c>
      <c r="Q10" s="18">
        <f>IFERROR(__xludf.DUMMYFUNCTION("""COMPUTED_VALUE"""),46256.0)</f>
        <v>46256</v>
      </c>
      <c r="R10" s="18">
        <f>IFERROR(__xludf.DUMMYFUNCTION("""COMPUTED_VALUE"""),465500.0)</f>
        <v>465500</v>
      </c>
    </row>
    <row r="11">
      <c r="A11" s="17">
        <v>46255.0</v>
      </c>
      <c r="B11" s="18">
        <v>1289000.0</v>
      </c>
      <c r="C11" s="10">
        <v>471553.0</v>
      </c>
      <c r="D11" s="223">
        <v>448000.0</v>
      </c>
      <c r="E11" s="223">
        <v>369447.0</v>
      </c>
      <c r="F11" s="18" t="s">
        <v>270</v>
      </c>
      <c r="I11" s="18">
        <v>4.6724872E7</v>
      </c>
      <c r="J11" s="18">
        <v>-4.6724872E7</v>
      </c>
      <c r="K11" s="18">
        <v>0.0</v>
      </c>
      <c r="Q11" s="18">
        <f>IFERROR(__xludf.DUMMYFUNCTION("""COMPUTED_VALUE"""),46257.0)</f>
        <v>46257</v>
      </c>
      <c r="R11" s="18">
        <f>IFERROR(__xludf.DUMMYFUNCTION("""COMPUTED_VALUE"""),280000.0)</f>
        <v>280000</v>
      </c>
    </row>
    <row r="12">
      <c r="A12" s="17">
        <v>46256.0</v>
      </c>
      <c r="B12" s="18">
        <v>2079500.0</v>
      </c>
      <c r="C12" s="10">
        <v>617263.0</v>
      </c>
      <c r="D12" s="223">
        <v>465500.0</v>
      </c>
      <c r="E12" s="223">
        <v>996737.0</v>
      </c>
      <c r="F12" s="18" t="s">
        <v>270</v>
      </c>
      <c r="I12" s="18">
        <v>4.6724872E7</v>
      </c>
      <c r="J12" s="18">
        <v>-4.6724872E7</v>
      </c>
      <c r="K12" s="18">
        <v>0.0</v>
      </c>
      <c r="Q12" s="18">
        <f>IFERROR(__xludf.DUMMYFUNCTION("""COMPUTED_VALUE"""),46258.0)</f>
        <v>46258</v>
      </c>
      <c r="R12" s="18">
        <f>IFERROR(__xludf.DUMMYFUNCTION("""COMPUTED_VALUE"""),28000.0)</f>
        <v>28000</v>
      </c>
    </row>
    <row r="13">
      <c r="A13" s="17">
        <v>46257.0</v>
      </c>
      <c r="B13" s="18">
        <v>993000.0</v>
      </c>
      <c r="C13" s="10">
        <v>404221.0</v>
      </c>
      <c r="D13" s="223">
        <v>280000.0</v>
      </c>
      <c r="E13" s="223">
        <v>308779.0</v>
      </c>
      <c r="F13" s="18" t="s">
        <v>270</v>
      </c>
      <c r="I13" s="18">
        <v>4.6724872E7</v>
      </c>
      <c r="J13" s="18">
        <v>-4.6724872E7</v>
      </c>
      <c r="K13" s="18">
        <v>0.0</v>
      </c>
      <c r="Q13" s="18">
        <f>IFERROR(__xludf.DUMMYFUNCTION("""COMPUTED_VALUE"""),46259.0)</f>
        <v>46259</v>
      </c>
      <c r="R13" s="18">
        <f>IFERROR(__xludf.DUMMYFUNCTION("""COMPUTED_VALUE"""),455000.0)</f>
        <v>455000</v>
      </c>
    </row>
    <row r="14">
      <c r="A14" s="17">
        <v>46258.0</v>
      </c>
      <c r="B14" s="18">
        <v>826000.0</v>
      </c>
      <c r="C14" s="10">
        <v>200176.0</v>
      </c>
      <c r="D14" s="223">
        <v>28000.0</v>
      </c>
      <c r="E14" s="223">
        <v>597824.0</v>
      </c>
      <c r="F14" s="18" t="s">
        <v>270</v>
      </c>
      <c r="I14" s="18">
        <v>4.6724872E7</v>
      </c>
      <c r="J14" s="18">
        <v>-4.6724872E7</v>
      </c>
      <c r="K14" s="18">
        <v>0.0</v>
      </c>
      <c r="Q14" s="18">
        <f>IFERROR(__xludf.DUMMYFUNCTION("""COMPUTED_VALUE"""),46260.0)</f>
        <v>46260</v>
      </c>
      <c r="R14" s="18">
        <f>IFERROR(__xludf.DUMMYFUNCTION("""COMPUTED_VALUE"""),100000.0)</f>
        <v>100000</v>
      </c>
    </row>
    <row r="15">
      <c r="A15" s="17">
        <v>46259.0</v>
      </c>
      <c r="B15" s="18">
        <v>1076000.0</v>
      </c>
      <c r="C15" s="10">
        <v>344849.0</v>
      </c>
      <c r="D15" s="223">
        <v>455000.0</v>
      </c>
      <c r="E15" s="223">
        <v>276151.0</v>
      </c>
      <c r="F15" s="18" t="s">
        <v>270</v>
      </c>
      <c r="I15" s="18">
        <v>4.6724872E7</v>
      </c>
      <c r="J15" s="18">
        <v>-4.6724872E7</v>
      </c>
      <c r="K15" s="18">
        <v>0.0</v>
      </c>
      <c r="Q15" s="18">
        <f>IFERROR(__xludf.DUMMYFUNCTION("""COMPUTED_VALUE"""),46261.0)</f>
        <v>46261</v>
      </c>
      <c r="R15" s="18">
        <f>IFERROR(__xludf.DUMMYFUNCTION("""COMPUTED_VALUE"""),350000.0)</f>
        <v>350000</v>
      </c>
    </row>
    <row r="16">
      <c r="A16" s="17">
        <v>46260.0</v>
      </c>
      <c r="B16" s="18">
        <v>691000.0</v>
      </c>
      <c r="C16" s="10">
        <v>173735.0</v>
      </c>
      <c r="D16" s="223">
        <v>100000.0</v>
      </c>
      <c r="E16" s="223">
        <v>417265.0</v>
      </c>
      <c r="F16" s="18" t="s">
        <v>270</v>
      </c>
      <c r="I16" s="18">
        <v>4.6724872E7</v>
      </c>
      <c r="J16" s="18">
        <v>-4.6724872E7</v>
      </c>
      <c r="K16" s="18">
        <v>0.0</v>
      </c>
      <c r="Q16" s="18">
        <f>IFERROR(__xludf.DUMMYFUNCTION("""COMPUTED_VALUE"""),46263.0)</f>
        <v>46263</v>
      </c>
      <c r="R16" s="18">
        <f>IFERROR(__xludf.DUMMYFUNCTION("""COMPUTED_VALUE"""),574000.0)</f>
        <v>574000</v>
      </c>
    </row>
    <row r="17">
      <c r="A17" s="17">
        <v>46261.0</v>
      </c>
      <c r="B17" s="18">
        <v>1104000.0</v>
      </c>
      <c r="C17" s="10">
        <v>367764.0</v>
      </c>
      <c r="D17" s="223">
        <v>350000.0</v>
      </c>
      <c r="E17" s="223">
        <v>386236.0</v>
      </c>
      <c r="F17" s="18" t="s">
        <v>270</v>
      </c>
      <c r="I17" s="18">
        <v>4.6724872E7</v>
      </c>
      <c r="J17" s="18">
        <v>-4.6724872E7</v>
      </c>
      <c r="K17" s="18">
        <v>0.0</v>
      </c>
      <c r="Q17" s="18">
        <f>IFERROR(__xludf.DUMMYFUNCTION("""COMPUTED_VALUE"""),46264.0)</f>
        <v>46264</v>
      </c>
      <c r="R17" s="18">
        <f>IFERROR(__xludf.DUMMYFUNCTION("""COMPUTED_VALUE"""),9177000.0)</f>
        <v>9177000</v>
      </c>
    </row>
    <row r="18">
      <c r="A18" s="17">
        <v>46262.0</v>
      </c>
      <c r="B18" s="18">
        <v>1557000.0</v>
      </c>
      <c r="C18" s="10">
        <v>410112.0</v>
      </c>
      <c r="D18" s="223">
        <v>0.0</v>
      </c>
      <c r="E18" s="223">
        <v>1146888.0</v>
      </c>
      <c r="F18" s="18" t="s">
        <v>270</v>
      </c>
      <c r="I18" s="18">
        <v>4.6724872E7</v>
      </c>
      <c r="J18" s="18">
        <v>-4.6724872E7</v>
      </c>
      <c r="K18" s="18">
        <v>0.0</v>
      </c>
      <c r="Q18" s="18">
        <f>IFERROR(__xludf.DUMMYFUNCTION("""COMPUTED_VALUE"""),46266.0)</f>
        <v>46266</v>
      </c>
      <c r="R18" s="18">
        <f>IFERROR(__xludf.DUMMYFUNCTION("""COMPUTED_VALUE"""),139000.0)</f>
        <v>139000</v>
      </c>
    </row>
    <row r="19">
      <c r="A19" s="17">
        <v>46263.0</v>
      </c>
      <c r="B19" s="18">
        <v>2202500.0</v>
      </c>
      <c r="C19" s="10">
        <v>665516.0</v>
      </c>
      <c r="D19" s="223">
        <v>574000.0</v>
      </c>
      <c r="E19" s="223">
        <v>962984.0</v>
      </c>
      <c r="F19" s="18" t="s">
        <v>270</v>
      </c>
      <c r="I19" s="18">
        <v>4.6724872E7</v>
      </c>
      <c r="J19" s="18">
        <v>-4.6724872E7</v>
      </c>
      <c r="K19" s="18">
        <v>0.0</v>
      </c>
      <c r="Q19" s="18">
        <f>IFERROR(__xludf.DUMMYFUNCTION("""COMPUTED_VALUE"""),46267.0)</f>
        <v>46267</v>
      </c>
      <c r="R19" s="18">
        <f>IFERROR(__xludf.DUMMYFUNCTION("""COMPUTED_VALUE"""),398000.0)</f>
        <v>398000</v>
      </c>
    </row>
    <row r="20">
      <c r="A20" s="17">
        <v>46264.0</v>
      </c>
      <c r="B20" s="18">
        <v>1232500.0</v>
      </c>
      <c r="C20" s="10">
        <v>430645.0</v>
      </c>
      <c r="D20" s="223">
        <v>9177000.0</v>
      </c>
      <c r="E20" s="223">
        <v>-8375145.0</v>
      </c>
      <c r="F20" s="18" t="s">
        <v>270</v>
      </c>
      <c r="I20" s="18">
        <v>4.6724872E7</v>
      </c>
      <c r="J20" s="18">
        <v>-4.6724872E7</v>
      </c>
      <c r="K20" s="18">
        <v>0.0</v>
      </c>
      <c r="Q20" s="18">
        <f>IFERROR(__xludf.DUMMYFUNCTION("""COMPUTED_VALUE"""),46268.0)</f>
        <v>46268</v>
      </c>
      <c r="R20" s="18">
        <f>IFERROR(__xludf.DUMMYFUNCTION("""COMPUTED_VALUE"""),132000.0)</f>
        <v>132000</v>
      </c>
    </row>
    <row r="21">
      <c r="A21" s="17">
        <v>46265.0</v>
      </c>
      <c r="B21" s="18">
        <v>1457500.0</v>
      </c>
      <c r="C21" s="10">
        <v>507915.0</v>
      </c>
      <c r="D21" s="223">
        <v>0.0</v>
      </c>
      <c r="E21" s="223">
        <v>949585.0</v>
      </c>
      <c r="F21" s="18" t="s">
        <v>270</v>
      </c>
      <c r="I21" s="18">
        <v>4.6724872E7</v>
      </c>
      <c r="J21" s="18">
        <v>-4.6724872E7</v>
      </c>
      <c r="K21" s="18">
        <v>0.0</v>
      </c>
      <c r="Q21" s="18">
        <f>IFERROR(__xludf.DUMMYFUNCTION("""COMPUTED_VALUE"""),46269.0)</f>
        <v>46269</v>
      </c>
      <c r="R21" s="18">
        <f>IFERROR(__xludf.DUMMYFUNCTION("""COMPUTED_VALUE"""),248000.0)</f>
        <v>248000</v>
      </c>
    </row>
    <row r="22">
      <c r="A22" s="17">
        <v>46266.0</v>
      </c>
      <c r="B22" s="18">
        <v>984500.0</v>
      </c>
      <c r="C22" s="10">
        <v>366254.0</v>
      </c>
      <c r="D22" s="223">
        <v>139000.0</v>
      </c>
      <c r="E22" s="223">
        <v>479246.0</v>
      </c>
      <c r="F22" s="18" t="s">
        <v>270</v>
      </c>
      <c r="I22" s="18">
        <v>4.6724872E7</v>
      </c>
      <c r="J22" s="18">
        <v>-4.6724872E7</v>
      </c>
      <c r="K22" s="18">
        <v>0.0</v>
      </c>
      <c r="Q22" s="18">
        <f>IFERROR(__xludf.DUMMYFUNCTION("""COMPUTED_VALUE"""),46270.0)</f>
        <v>46270</v>
      </c>
      <c r="R22" s="18">
        <f>IFERROR(__xludf.DUMMYFUNCTION("""COMPUTED_VALUE"""),259000.0)</f>
        <v>259000</v>
      </c>
    </row>
    <row r="23">
      <c r="A23" s="17">
        <v>46267.0</v>
      </c>
      <c r="B23" s="18">
        <v>1052000.0</v>
      </c>
      <c r="C23" s="10">
        <v>313440.0</v>
      </c>
      <c r="D23" s="223">
        <v>398000.0</v>
      </c>
      <c r="E23" s="223">
        <v>340560.0</v>
      </c>
      <c r="F23" s="18" t="s">
        <v>270</v>
      </c>
      <c r="I23" s="18">
        <v>4.6724872E7</v>
      </c>
      <c r="J23" s="18">
        <v>-4.6724872E7</v>
      </c>
      <c r="K23" s="18">
        <v>0.0</v>
      </c>
      <c r="Q23" s="18">
        <f>IFERROR(__xludf.DUMMYFUNCTION("""COMPUTED_VALUE"""),46272.0)</f>
        <v>46272</v>
      </c>
      <c r="R23" s="18">
        <f>IFERROR(__xludf.DUMMYFUNCTION("""COMPUTED_VALUE"""),4388000.0)</f>
        <v>4388000</v>
      </c>
    </row>
    <row r="24">
      <c r="A24" s="17">
        <v>46268.0</v>
      </c>
      <c r="B24" s="18">
        <v>775000.0</v>
      </c>
      <c r="C24" s="10">
        <v>216969.0</v>
      </c>
      <c r="D24" s="223">
        <v>132000.0</v>
      </c>
      <c r="E24" s="223">
        <v>426031.0</v>
      </c>
      <c r="F24" s="18" t="s">
        <v>270</v>
      </c>
      <c r="I24" s="18">
        <v>4.6724872E7</v>
      </c>
      <c r="J24" s="18">
        <v>-4.6724872E7</v>
      </c>
      <c r="K24" s="18">
        <v>0.0</v>
      </c>
      <c r="Q24" s="18">
        <f>IFERROR(__xludf.DUMMYFUNCTION("""COMPUTED_VALUE"""),46273.0)</f>
        <v>46273</v>
      </c>
      <c r="R24" s="18">
        <f>IFERROR(__xludf.DUMMYFUNCTION("""COMPUTED_VALUE"""),1060000.0)</f>
        <v>1060000</v>
      </c>
    </row>
    <row r="25">
      <c r="A25" s="17">
        <v>46269.0</v>
      </c>
      <c r="B25" s="18">
        <v>1001500.0</v>
      </c>
      <c r="C25" s="10">
        <v>325299.0</v>
      </c>
      <c r="D25" s="223">
        <v>248000.0</v>
      </c>
      <c r="E25" s="223">
        <v>428201.0</v>
      </c>
      <c r="F25" s="18" t="s">
        <v>270</v>
      </c>
      <c r="I25" s="18">
        <v>4.6724872E7</v>
      </c>
      <c r="J25" s="18">
        <v>-4.6724872E7</v>
      </c>
      <c r="K25" s="18">
        <v>0.0</v>
      </c>
      <c r="Q25" s="18">
        <f>IFERROR(__xludf.DUMMYFUNCTION("""COMPUTED_VALUE"""),46274.0)</f>
        <v>46274</v>
      </c>
      <c r="R25" s="18">
        <f>IFERROR(__xludf.DUMMYFUNCTION("""COMPUTED_VALUE"""),202000.0)</f>
        <v>202000</v>
      </c>
    </row>
    <row r="26">
      <c r="A26" s="17">
        <v>46270.0</v>
      </c>
      <c r="B26" s="18">
        <v>1140500.0</v>
      </c>
      <c r="C26" s="10">
        <v>360417.0</v>
      </c>
      <c r="D26" s="223">
        <v>259000.0</v>
      </c>
      <c r="E26" s="223">
        <v>521083.0</v>
      </c>
      <c r="F26" s="18" t="s">
        <v>270</v>
      </c>
      <c r="I26" s="18">
        <v>4.6724872E7</v>
      </c>
      <c r="J26" s="18">
        <v>-4.6724872E7</v>
      </c>
      <c r="K26" s="18">
        <v>0.0</v>
      </c>
    </row>
    <row r="27">
      <c r="A27" s="17">
        <v>46271.0</v>
      </c>
      <c r="B27" s="18">
        <v>1864000.0</v>
      </c>
      <c r="C27" s="10">
        <v>625343.0</v>
      </c>
      <c r="D27" s="223">
        <v>0.0</v>
      </c>
      <c r="E27" s="223">
        <v>1238657.0</v>
      </c>
      <c r="F27" s="18" t="s">
        <v>270</v>
      </c>
      <c r="I27" s="18">
        <v>4.6724872E7</v>
      </c>
      <c r="J27" s="18">
        <v>-4.6724872E7</v>
      </c>
      <c r="K27" s="18">
        <v>0.0</v>
      </c>
    </row>
    <row r="28">
      <c r="A28" s="17">
        <v>46272.0</v>
      </c>
      <c r="B28" s="18">
        <v>2828000.0</v>
      </c>
      <c r="C28" s="10">
        <v>927211.0</v>
      </c>
      <c r="D28" s="223">
        <v>4388000.0</v>
      </c>
      <c r="E28" s="223">
        <v>-2487211.0</v>
      </c>
      <c r="F28" s="18" t="s">
        <v>276</v>
      </c>
      <c r="I28" s="18">
        <v>8129100.0</v>
      </c>
      <c r="J28" s="18">
        <v>-8129100.0</v>
      </c>
      <c r="K28" s="18">
        <v>0.0</v>
      </c>
    </row>
    <row r="29">
      <c r="A29" s="17">
        <v>46273.0</v>
      </c>
      <c r="B29" s="18">
        <v>1735500.0</v>
      </c>
      <c r="C29" s="10">
        <v>665052.0</v>
      </c>
      <c r="D29" s="223">
        <v>1060000.0</v>
      </c>
      <c r="E29" s="223">
        <v>10448.0</v>
      </c>
      <c r="F29" s="18" t="s">
        <v>276</v>
      </c>
      <c r="I29" s="18">
        <v>8129100.0</v>
      </c>
      <c r="J29" s="18">
        <v>-8129100.0</v>
      </c>
      <c r="K29" s="18">
        <v>0.0</v>
      </c>
    </row>
    <row r="30">
      <c r="A30" s="17">
        <v>46274.0</v>
      </c>
      <c r="B30" s="18">
        <v>1039000.0</v>
      </c>
      <c r="C30" s="10">
        <v>301764.0</v>
      </c>
      <c r="D30" s="223">
        <v>202000.0</v>
      </c>
      <c r="E30" s="223">
        <v>535236.0</v>
      </c>
      <c r="F30" s="18" t="s">
        <v>276</v>
      </c>
      <c r="I30" s="18">
        <v>8129100.0</v>
      </c>
      <c r="J30" s="18">
        <v>-8129100.0</v>
      </c>
      <c r="K30" s="18">
        <v>0.0</v>
      </c>
    </row>
    <row r="31">
      <c r="A31" s="17">
        <v>46275.0</v>
      </c>
      <c r="B31" s="18">
        <v>0.0</v>
      </c>
      <c r="C31" s="10">
        <v>0.0</v>
      </c>
      <c r="D31" s="223">
        <v>0.0</v>
      </c>
      <c r="E31" s="223">
        <v>0.0</v>
      </c>
      <c r="F31" s="18" t="s">
        <v>276</v>
      </c>
      <c r="I31" s="18">
        <v>8129100.0</v>
      </c>
      <c r="J31" s="18">
        <v>-8129100.0</v>
      </c>
      <c r="K31" s="18">
        <v>0.0</v>
      </c>
    </row>
    <row r="32">
      <c r="A32" s="17">
        <v>46276.0</v>
      </c>
      <c r="B32" s="18">
        <v>0.0</v>
      </c>
      <c r="C32" s="10">
        <v>0.0</v>
      </c>
      <c r="D32" s="223">
        <v>0.0</v>
      </c>
      <c r="E32" s="223">
        <v>0.0</v>
      </c>
      <c r="F32" s="18" t="s">
        <v>276</v>
      </c>
      <c r="I32" s="18">
        <v>8129100.0</v>
      </c>
      <c r="J32" s="18">
        <v>-8129100.0</v>
      </c>
      <c r="K32" s="18">
        <v>0.0</v>
      </c>
    </row>
    <row r="33">
      <c r="D33" s="18" t="s">
        <v>277</v>
      </c>
      <c r="E33" s="18" t="s">
        <v>277</v>
      </c>
      <c r="F33" s="18" t="s">
        <v>277</v>
      </c>
      <c r="I33" s="18" t="s">
        <v>277</v>
      </c>
      <c r="J33" s="18" t="s">
        <v>277</v>
      </c>
      <c r="K33" s="18" t="s">
        <v>277</v>
      </c>
    </row>
    <row r="34">
      <c r="D34" s="18" t="s">
        <v>277</v>
      </c>
      <c r="E34" s="18" t="s">
        <v>277</v>
      </c>
      <c r="F34" s="18" t="s">
        <v>277</v>
      </c>
      <c r="I34" s="18" t="s">
        <v>277</v>
      </c>
      <c r="J34" s="18" t="s">
        <v>277</v>
      </c>
      <c r="K34" s="18" t="s">
        <v>277</v>
      </c>
    </row>
    <row r="35">
      <c r="D35" s="18" t="s">
        <v>277</v>
      </c>
      <c r="E35" s="18" t="s">
        <v>277</v>
      </c>
      <c r="F35" s="18" t="s">
        <v>277</v>
      </c>
      <c r="I35" s="18" t="s">
        <v>277</v>
      </c>
      <c r="J35" s="18" t="s">
        <v>277</v>
      </c>
      <c r="K35" s="18" t="s">
        <v>277</v>
      </c>
    </row>
    <row r="36">
      <c r="D36" s="18" t="s">
        <v>277</v>
      </c>
      <c r="E36" s="18" t="s">
        <v>277</v>
      </c>
      <c r="F36" s="18" t="s">
        <v>277</v>
      </c>
      <c r="I36" s="18" t="s">
        <v>277</v>
      </c>
      <c r="J36" s="18" t="s">
        <v>277</v>
      </c>
      <c r="K36" s="18" t="s">
        <v>277</v>
      </c>
    </row>
    <row r="37">
      <c r="D37" s="18" t="s">
        <v>277</v>
      </c>
      <c r="E37" s="18" t="s">
        <v>277</v>
      </c>
      <c r="F37" s="18" t="s">
        <v>277</v>
      </c>
      <c r="I37" s="18" t="s">
        <v>277</v>
      </c>
      <c r="J37" s="18" t="s">
        <v>277</v>
      </c>
      <c r="K37" s="18" t="s">
        <v>277</v>
      </c>
    </row>
    <row r="38">
      <c r="D38" s="18" t="s">
        <v>277</v>
      </c>
      <c r="E38" s="18" t="s">
        <v>277</v>
      </c>
      <c r="F38" s="18" t="s">
        <v>277</v>
      </c>
      <c r="I38" s="18" t="s">
        <v>277</v>
      </c>
      <c r="J38" s="18" t="s">
        <v>277</v>
      </c>
      <c r="K38" s="18" t="s">
        <v>277</v>
      </c>
    </row>
    <row r="39">
      <c r="D39" s="18" t="s">
        <v>277</v>
      </c>
      <c r="E39" s="18" t="s">
        <v>277</v>
      </c>
      <c r="F39" s="18" t="s">
        <v>277</v>
      </c>
      <c r="I39" s="18" t="s">
        <v>277</v>
      </c>
      <c r="J39" s="18" t="s">
        <v>277</v>
      </c>
      <c r="K39" s="18" t="s">
        <v>277</v>
      </c>
    </row>
    <row r="40">
      <c r="D40" s="18" t="s">
        <v>277</v>
      </c>
      <c r="E40" s="18" t="s">
        <v>277</v>
      </c>
      <c r="F40" s="18" t="s">
        <v>277</v>
      </c>
      <c r="I40" s="18" t="s">
        <v>277</v>
      </c>
      <c r="J40" s="18" t="s">
        <v>277</v>
      </c>
      <c r="K40" s="18" t="s">
        <v>277</v>
      </c>
    </row>
    <row r="41">
      <c r="D41" s="18" t="s">
        <v>277</v>
      </c>
      <c r="E41" s="18" t="s">
        <v>277</v>
      </c>
      <c r="F41" s="18" t="s">
        <v>277</v>
      </c>
      <c r="I41" s="18" t="s">
        <v>277</v>
      </c>
      <c r="J41" s="18" t="s">
        <v>277</v>
      </c>
      <c r="K41" s="18" t="s">
        <v>277</v>
      </c>
    </row>
    <row r="42">
      <c r="D42" s="18" t="s">
        <v>277</v>
      </c>
      <c r="E42" s="18" t="s">
        <v>277</v>
      </c>
      <c r="F42" s="18" t="s">
        <v>277</v>
      </c>
      <c r="I42" s="18" t="s">
        <v>277</v>
      </c>
      <c r="J42" s="18" t="s">
        <v>277</v>
      </c>
      <c r="K42" s="18" t="s">
        <v>277</v>
      </c>
    </row>
    <row r="43">
      <c r="D43" s="18" t="s">
        <v>277</v>
      </c>
      <c r="E43" s="18" t="s">
        <v>277</v>
      </c>
      <c r="F43" s="18" t="s">
        <v>277</v>
      </c>
      <c r="I43" s="18" t="s">
        <v>277</v>
      </c>
      <c r="J43" s="18" t="s">
        <v>277</v>
      </c>
      <c r="K43" s="18" t="s">
        <v>277</v>
      </c>
    </row>
    <row r="44">
      <c r="D44" s="18" t="s">
        <v>277</v>
      </c>
      <c r="E44" s="18" t="s">
        <v>277</v>
      </c>
      <c r="F44" s="18" t="s">
        <v>277</v>
      </c>
      <c r="I44" s="18" t="s">
        <v>277</v>
      </c>
      <c r="J44" s="18" t="s">
        <v>277</v>
      </c>
      <c r="K44" s="18" t="s">
        <v>277</v>
      </c>
    </row>
    <row r="45">
      <c r="D45" s="18" t="s">
        <v>277</v>
      </c>
      <c r="E45" s="18" t="s">
        <v>277</v>
      </c>
      <c r="F45" s="18" t="s">
        <v>277</v>
      </c>
      <c r="I45" s="18" t="s">
        <v>277</v>
      </c>
      <c r="J45" s="18" t="s">
        <v>277</v>
      </c>
      <c r="K45" s="18" t="s">
        <v>277</v>
      </c>
    </row>
    <row r="46">
      <c r="D46" s="18" t="s">
        <v>277</v>
      </c>
      <c r="E46" s="18" t="s">
        <v>277</v>
      </c>
      <c r="F46" s="18" t="s">
        <v>277</v>
      </c>
      <c r="I46" s="18" t="s">
        <v>277</v>
      </c>
      <c r="J46" s="18" t="s">
        <v>277</v>
      </c>
      <c r="K46" s="18" t="s">
        <v>277</v>
      </c>
    </row>
    <row r="47">
      <c r="D47" s="18" t="s">
        <v>277</v>
      </c>
      <c r="E47" s="18" t="s">
        <v>277</v>
      </c>
      <c r="F47" s="18" t="s">
        <v>277</v>
      </c>
      <c r="I47" s="18" t="s">
        <v>277</v>
      </c>
      <c r="J47" s="18" t="s">
        <v>277</v>
      </c>
      <c r="K47" s="18" t="s">
        <v>277</v>
      </c>
    </row>
    <row r="48">
      <c r="D48" s="18" t="s">
        <v>277</v>
      </c>
      <c r="E48" s="18" t="s">
        <v>277</v>
      </c>
      <c r="F48" s="18" t="s">
        <v>277</v>
      </c>
      <c r="I48" s="18" t="s">
        <v>277</v>
      </c>
      <c r="J48" s="18" t="s">
        <v>277</v>
      </c>
      <c r="K48" s="18" t="s">
        <v>277</v>
      </c>
    </row>
    <row r="49">
      <c r="D49" s="18" t="s">
        <v>277</v>
      </c>
      <c r="E49" s="18" t="s">
        <v>277</v>
      </c>
      <c r="F49" s="18" t="s">
        <v>277</v>
      </c>
      <c r="I49" s="18" t="s">
        <v>277</v>
      </c>
      <c r="J49" s="18" t="s">
        <v>277</v>
      </c>
      <c r="K49" s="18" t="s">
        <v>277</v>
      </c>
    </row>
    <row r="50">
      <c r="D50" s="18" t="s">
        <v>277</v>
      </c>
      <c r="E50" s="18" t="s">
        <v>277</v>
      </c>
      <c r="F50" s="18" t="s">
        <v>277</v>
      </c>
      <c r="I50" s="18" t="s">
        <v>277</v>
      </c>
      <c r="J50" s="18" t="s">
        <v>277</v>
      </c>
      <c r="K50" s="18" t="s">
        <v>277</v>
      </c>
    </row>
    <row r="51">
      <c r="D51" s="18" t="s">
        <v>277</v>
      </c>
      <c r="E51" s="18" t="s">
        <v>277</v>
      </c>
      <c r="F51" s="18" t="s">
        <v>277</v>
      </c>
      <c r="I51" s="18" t="s">
        <v>277</v>
      </c>
      <c r="J51" s="18" t="s">
        <v>277</v>
      </c>
      <c r="K51" s="18" t="s">
        <v>277</v>
      </c>
    </row>
    <row r="52">
      <c r="D52" s="18" t="s">
        <v>277</v>
      </c>
      <c r="E52" s="18" t="s">
        <v>277</v>
      </c>
      <c r="F52" s="18" t="s">
        <v>277</v>
      </c>
      <c r="I52" s="18" t="s">
        <v>277</v>
      </c>
      <c r="J52" s="18" t="s">
        <v>277</v>
      </c>
      <c r="K52" s="18" t="s">
        <v>277</v>
      </c>
    </row>
    <row r="53">
      <c r="D53" s="18" t="s">
        <v>277</v>
      </c>
      <c r="E53" s="18" t="s">
        <v>277</v>
      </c>
      <c r="F53" s="18" t="s">
        <v>277</v>
      </c>
      <c r="I53" s="18" t="s">
        <v>277</v>
      </c>
      <c r="J53" s="18" t="s">
        <v>277</v>
      </c>
      <c r="K53" s="18" t="s">
        <v>277</v>
      </c>
    </row>
    <row r="54">
      <c r="D54" s="18" t="s">
        <v>277</v>
      </c>
      <c r="E54" s="18" t="s">
        <v>277</v>
      </c>
      <c r="F54" s="18" t="s">
        <v>277</v>
      </c>
      <c r="I54" s="18" t="s">
        <v>277</v>
      </c>
      <c r="J54" s="18" t="s">
        <v>277</v>
      </c>
      <c r="K54" s="18" t="s">
        <v>277</v>
      </c>
    </row>
    <row r="55">
      <c r="D55" s="18" t="s">
        <v>277</v>
      </c>
      <c r="E55" s="18" t="s">
        <v>277</v>
      </c>
      <c r="F55" s="18" t="s">
        <v>277</v>
      </c>
      <c r="I55" s="18" t="s">
        <v>277</v>
      </c>
      <c r="J55" s="18" t="s">
        <v>277</v>
      </c>
      <c r="K55" s="18" t="s">
        <v>277</v>
      </c>
    </row>
    <row r="56">
      <c r="D56" s="18" t="s">
        <v>277</v>
      </c>
      <c r="E56" s="18" t="s">
        <v>277</v>
      </c>
      <c r="F56" s="18" t="s">
        <v>277</v>
      </c>
      <c r="I56" s="18" t="s">
        <v>277</v>
      </c>
      <c r="J56" s="18" t="s">
        <v>277</v>
      </c>
      <c r="K56" s="18" t="s">
        <v>277</v>
      </c>
    </row>
    <row r="57">
      <c r="D57" s="18" t="s">
        <v>277</v>
      </c>
      <c r="E57" s="18" t="s">
        <v>277</v>
      </c>
      <c r="F57" s="18" t="s">
        <v>277</v>
      </c>
      <c r="I57" s="18" t="s">
        <v>277</v>
      </c>
      <c r="J57" s="18" t="s">
        <v>277</v>
      </c>
      <c r="K57" s="18" t="s">
        <v>277</v>
      </c>
    </row>
    <row r="58">
      <c r="D58" s="18" t="s">
        <v>277</v>
      </c>
      <c r="E58" s="18" t="s">
        <v>277</v>
      </c>
      <c r="F58" s="18" t="s">
        <v>277</v>
      </c>
      <c r="I58" s="18" t="s">
        <v>277</v>
      </c>
      <c r="J58" s="18" t="s">
        <v>277</v>
      </c>
      <c r="K58" s="18" t="s">
        <v>277</v>
      </c>
    </row>
    <row r="59">
      <c r="D59" s="18" t="s">
        <v>277</v>
      </c>
      <c r="E59" s="18" t="s">
        <v>277</v>
      </c>
      <c r="F59" s="18" t="s">
        <v>277</v>
      </c>
      <c r="I59" s="18" t="s">
        <v>277</v>
      </c>
      <c r="J59" s="18" t="s">
        <v>277</v>
      </c>
      <c r="K59" s="18" t="s">
        <v>277</v>
      </c>
    </row>
    <row r="60">
      <c r="D60" s="18" t="s">
        <v>277</v>
      </c>
      <c r="E60" s="18" t="s">
        <v>277</v>
      </c>
      <c r="F60" s="18" t="s">
        <v>277</v>
      </c>
      <c r="I60" s="18" t="s">
        <v>277</v>
      </c>
      <c r="J60" s="18" t="s">
        <v>277</v>
      </c>
      <c r="K60" s="18" t="s">
        <v>277</v>
      </c>
    </row>
    <row r="61">
      <c r="D61" s="18" t="s">
        <v>277</v>
      </c>
      <c r="E61" s="18" t="s">
        <v>277</v>
      </c>
      <c r="F61" s="18" t="s">
        <v>277</v>
      </c>
      <c r="I61" s="18" t="s">
        <v>277</v>
      </c>
      <c r="J61" s="18" t="s">
        <v>277</v>
      </c>
      <c r="K61" s="18" t="s">
        <v>277</v>
      </c>
    </row>
    <row r="62">
      <c r="D62" s="18" t="s">
        <v>277</v>
      </c>
      <c r="E62" s="18" t="s">
        <v>277</v>
      </c>
      <c r="F62" s="18" t="s">
        <v>277</v>
      </c>
      <c r="I62" s="18" t="s">
        <v>277</v>
      </c>
      <c r="J62" s="18" t="s">
        <v>277</v>
      </c>
      <c r="K62" s="18" t="s">
        <v>277</v>
      </c>
    </row>
    <row r="63">
      <c r="D63" s="18" t="s">
        <v>277</v>
      </c>
      <c r="E63" s="18" t="s">
        <v>277</v>
      </c>
      <c r="F63" s="18" t="s">
        <v>277</v>
      </c>
      <c r="I63" s="18" t="s">
        <v>277</v>
      </c>
      <c r="J63" s="18" t="s">
        <v>277</v>
      </c>
      <c r="K63" s="18" t="s">
        <v>277</v>
      </c>
    </row>
    <row r="64">
      <c r="D64" s="18" t="s">
        <v>277</v>
      </c>
      <c r="E64" s="18" t="s">
        <v>277</v>
      </c>
      <c r="F64" s="18" t="s">
        <v>277</v>
      </c>
      <c r="I64" s="18" t="s">
        <v>277</v>
      </c>
      <c r="J64" s="18" t="s">
        <v>277</v>
      </c>
      <c r="K64" s="18" t="s">
        <v>277</v>
      </c>
    </row>
    <row r="65">
      <c r="D65" s="18" t="s">
        <v>277</v>
      </c>
      <c r="E65" s="18" t="s">
        <v>277</v>
      </c>
      <c r="F65" s="18" t="s">
        <v>277</v>
      </c>
      <c r="I65" s="18" t="s">
        <v>277</v>
      </c>
      <c r="J65" s="18" t="s">
        <v>277</v>
      </c>
      <c r="K65" s="18" t="s">
        <v>277</v>
      </c>
    </row>
    <row r="66">
      <c r="D66" s="18" t="s">
        <v>277</v>
      </c>
      <c r="E66" s="18" t="s">
        <v>277</v>
      </c>
      <c r="F66" s="18" t="s">
        <v>277</v>
      </c>
      <c r="I66" s="18" t="s">
        <v>277</v>
      </c>
      <c r="J66" s="18" t="s">
        <v>277</v>
      </c>
      <c r="K66" s="18" t="s">
        <v>277</v>
      </c>
    </row>
    <row r="67">
      <c r="D67" s="18" t="s">
        <v>277</v>
      </c>
      <c r="E67" s="18" t="s">
        <v>277</v>
      </c>
      <c r="F67" s="18" t="s">
        <v>277</v>
      </c>
      <c r="I67" s="18" t="s">
        <v>277</v>
      </c>
      <c r="J67" s="18" t="s">
        <v>277</v>
      </c>
      <c r="K67" s="18" t="s">
        <v>277</v>
      </c>
    </row>
    <row r="68">
      <c r="D68" s="18" t="s">
        <v>277</v>
      </c>
      <c r="E68" s="18" t="s">
        <v>277</v>
      </c>
      <c r="F68" s="18" t="s">
        <v>277</v>
      </c>
      <c r="I68" s="18" t="s">
        <v>277</v>
      </c>
      <c r="J68" s="18" t="s">
        <v>277</v>
      </c>
      <c r="K68" s="18" t="s">
        <v>277</v>
      </c>
    </row>
    <row r="69">
      <c r="D69" s="18" t="s">
        <v>277</v>
      </c>
      <c r="E69" s="18" t="s">
        <v>277</v>
      </c>
      <c r="F69" s="18" t="s">
        <v>277</v>
      </c>
      <c r="I69" s="18" t="s">
        <v>277</v>
      </c>
      <c r="J69" s="18" t="s">
        <v>277</v>
      </c>
      <c r="K69" s="18" t="s">
        <v>277</v>
      </c>
    </row>
    <row r="70">
      <c r="D70" s="18" t="s">
        <v>277</v>
      </c>
      <c r="E70" s="18" t="s">
        <v>277</v>
      </c>
      <c r="F70" s="18" t="s">
        <v>277</v>
      </c>
      <c r="I70" s="18" t="s">
        <v>277</v>
      </c>
      <c r="J70" s="18" t="s">
        <v>277</v>
      </c>
      <c r="K70" s="18" t="s">
        <v>277</v>
      </c>
    </row>
    <row r="71">
      <c r="D71" s="18" t="s">
        <v>277</v>
      </c>
      <c r="E71" s="18" t="s">
        <v>277</v>
      </c>
      <c r="F71" s="18" t="s">
        <v>277</v>
      </c>
      <c r="I71" s="18" t="s">
        <v>277</v>
      </c>
      <c r="J71" s="18" t="s">
        <v>277</v>
      </c>
      <c r="K71" s="18" t="s">
        <v>277</v>
      </c>
    </row>
    <row r="72">
      <c r="D72" s="18" t="s">
        <v>277</v>
      </c>
      <c r="E72" s="18" t="s">
        <v>277</v>
      </c>
      <c r="F72" s="18" t="s">
        <v>277</v>
      </c>
      <c r="I72" s="18" t="s">
        <v>277</v>
      </c>
      <c r="J72" s="18" t="s">
        <v>277</v>
      </c>
      <c r="K72" s="18" t="s">
        <v>277</v>
      </c>
    </row>
    <row r="73">
      <c r="D73" s="18" t="s">
        <v>277</v>
      </c>
      <c r="E73" s="18" t="s">
        <v>277</v>
      </c>
      <c r="F73" s="18" t="s">
        <v>277</v>
      </c>
      <c r="I73" s="18" t="s">
        <v>277</v>
      </c>
      <c r="J73" s="18" t="s">
        <v>277</v>
      </c>
      <c r="K73" s="18" t="s">
        <v>277</v>
      </c>
    </row>
    <row r="74">
      <c r="D74" s="18" t="s">
        <v>277</v>
      </c>
      <c r="E74" s="18" t="s">
        <v>277</v>
      </c>
      <c r="F74" s="18" t="s">
        <v>277</v>
      </c>
      <c r="I74" s="18" t="s">
        <v>277</v>
      </c>
      <c r="J74" s="18" t="s">
        <v>277</v>
      </c>
      <c r="K74" s="18" t="s">
        <v>277</v>
      </c>
    </row>
    <row r="75">
      <c r="D75" s="18" t="s">
        <v>277</v>
      </c>
      <c r="E75" s="18" t="s">
        <v>277</v>
      </c>
      <c r="F75" s="18" t="s">
        <v>277</v>
      </c>
      <c r="I75" s="18" t="s">
        <v>277</v>
      </c>
      <c r="J75" s="18" t="s">
        <v>277</v>
      </c>
      <c r="K75" s="18" t="s">
        <v>277</v>
      </c>
    </row>
    <row r="76">
      <c r="D76" s="18" t="s">
        <v>277</v>
      </c>
      <c r="E76" s="18" t="s">
        <v>277</v>
      </c>
      <c r="F76" s="18" t="s">
        <v>277</v>
      </c>
      <c r="I76" s="18" t="s">
        <v>277</v>
      </c>
      <c r="J76" s="18" t="s">
        <v>277</v>
      </c>
      <c r="K76" s="18" t="s">
        <v>277</v>
      </c>
    </row>
    <row r="77">
      <c r="D77" s="18" t="s">
        <v>277</v>
      </c>
      <c r="E77" s="18" t="s">
        <v>277</v>
      </c>
      <c r="F77" s="18" t="s">
        <v>277</v>
      </c>
      <c r="I77" s="18" t="s">
        <v>277</v>
      </c>
      <c r="J77" s="18" t="s">
        <v>277</v>
      </c>
      <c r="K77" s="18" t="s">
        <v>277</v>
      </c>
    </row>
    <row r="78">
      <c r="D78" s="18" t="s">
        <v>277</v>
      </c>
      <c r="E78" s="18" t="s">
        <v>277</v>
      </c>
      <c r="F78" s="18" t="s">
        <v>277</v>
      </c>
      <c r="I78" s="18" t="s">
        <v>277</v>
      </c>
      <c r="J78" s="18" t="s">
        <v>277</v>
      </c>
      <c r="K78" s="18" t="s">
        <v>277</v>
      </c>
    </row>
    <row r="79">
      <c r="D79" s="18" t="s">
        <v>277</v>
      </c>
      <c r="E79" s="18" t="s">
        <v>277</v>
      </c>
      <c r="F79" s="18" t="s">
        <v>277</v>
      </c>
      <c r="I79" s="18" t="s">
        <v>277</v>
      </c>
      <c r="J79" s="18" t="s">
        <v>277</v>
      </c>
      <c r="K79" s="18" t="s">
        <v>277</v>
      </c>
    </row>
    <row r="80">
      <c r="D80" s="18" t="s">
        <v>277</v>
      </c>
      <c r="E80" s="18" t="s">
        <v>277</v>
      </c>
      <c r="F80" s="18" t="s">
        <v>277</v>
      </c>
      <c r="I80" s="18" t="s">
        <v>277</v>
      </c>
      <c r="J80" s="18" t="s">
        <v>277</v>
      </c>
      <c r="K80" s="18" t="s">
        <v>277</v>
      </c>
    </row>
    <row r="81">
      <c r="D81" s="18" t="s">
        <v>277</v>
      </c>
      <c r="E81" s="18" t="s">
        <v>277</v>
      </c>
      <c r="F81" s="18" t="s">
        <v>277</v>
      </c>
      <c r="I81" s="18" t="s">
        <v>277</v>
      </c>
      <c r="J81" s="18" t="s">
        <v>277</v>
      </c>
      <c r="K81" s="18" t="s">
        <v>277</v>
      </c>
    </row>
    <row r="82">
      <c r="D82" s="18" t="s">
        <v>277</v>
      </c>
      <c r="E82" s="18" t="s">
        <v>277</v>
      </c>
      <c r="F82" s="18" t="s">
        <v>277</v>
      </c>
      <c r="I82" s="18" t="s">
        <v>277</v>
      </c>
      <c r="J82" s="18" t="s">
        <v>277</v>
      </c>
      <c r="K82" s="18" t="s">
        <v>277</v>
      </c>
    </row>
    <row r="83">
      <c r="D83" s="18" t="s">
        <v>277</v>
      </c>
      <c r="E83" s="18" t="s">
        <v>277</v>
      </c>
      <c r="F83" s="18" t="s">
        <v>277</v>
      </c>
      <c r="I83" s="18" t="s">
        <v>277</v>
      </c>
      <c r="J83" s="18" t="s">
        <v>277</v>
      </c>
      <c r="K83" s="18" t="s">
        <v>277</v>
      </c>
    </row>
    <row r="84">
      <c r="D84" s="18" t="s">
        <v>277</v>
      </c>
      <c r="E84" s="18" t="s">
        <v>277</v>
      </c>
      <c r="F84" s="18" t="s">
        <v>277</v>
      </c>
      <c r="I84" s="18" t="s">
        <v>277</v>
      </c>
      <c r="J84" s="18" t="s">
        <v>277</v>
      </c>
      <c r="K84" s="18" t="s">
        <v>277</v>
      </c>
    </row>
    <row r="85">
      <c r="D85" s="18" t="s">
        <v>277</v>
      </c>
      <c r="E85" s="18" t="s">
        <v>277</v>
      </c>
      <c r="F85" s="18" t="s">
        <v>277</v>
      </c>
      <c r="I85" s="18" t="s">
        <v>277</v>
      </c>
      <c r="J85" s="18" t="s">
        <v>277</v>
      </c>
      <c r="K85" s="18" t="s">
        <v>277</v>
      </c>
    </row>
    <row r="86">
      <c r="D86" s="18" t="s">
        <v>277</v>
      </c>
      <c r="E86" s="18" t="s">
        <v>277</v>
      </c>
      <c r="F86" s="18" t="s">
        <v>277</v>
      </c>
      <c r="I86" s="18" t="s">
        <v>277</v>
      </c>
      <c r="J86" s="18" t="s">
        <v>277</v>
      </c>
      <c r="K86" s="18" t="s">
        <v>277</v>
      </c>
    </row>
    <row r="87">
      <c r="D87" s="18" t="s">
        <v>277</v>
      </c>
      <c r="E87" s="18" t="s">
        <v>277</v>
      </c>
      <c r="F87" s="18" t="s">
        <v>277</v>
      </c>
      <c r="I87" s="18" t="s">
        <v>277</v>
      </c>
      <c r="J87" s="18" t="s">
        <v>277</v>
      </c>
      <c r="K87" s="18" t="s">
        <v>277</v>
      </c>
    </row>
    <row r="88">
      <c r="D88" s="18" t="s">
        <v>277</v>
      </c>
      <c r="E88" s="18" t="s">
        <v>277</v>
      </c>
      <c r="F88" s="18" t="s">
        <v>277</v>
      </c>
      <c r="I88" s="18" t="s">
        <v>277</v>
      </c>
      <c r="J88" s="18" t="s">
        <v>277</v>
      </c>
      <c r="K88" s="18" t="s">
        <v>277</v>
      </c>
    </row>
    <row r="89">
      <c r="D89" s="18" t="s">
        <v>277</v>
      </c>
      <c r="E89" s="18" t="s">
        <v>277</v>
      </c>
      <c r="F89" s="18" t="s">
        <v>277</v>
      </c>
      <c r="I89" s="18" t="s">
        <v>277</v>
      </c>
      <c r="J89" s="18" t="s">
        <v>277</v>
      </c>
      <c r="K89" s="18" t="s">
        <v>277</v>
      </c>
    </row>
    <row r="90">
      <c r="D90" s="18" t="s">
        <v>277</v>
      </c>
      <c r="E90" s="18" t="s">
        <v>277</v>
      </c>
      <c r="F90" s="18" t="s">
        <v>277</v>
      </c>
      <c r="I90" s="18" t="s">
        <v>277</v>
      </c>
      <c r="J90" s="18" t="s">
        <v>277</v>
      </c>
      <c r="K90" s="18" t="s">
        <v>277</v>
      </c>
    </row>
    <row r="91">
      <c r="D91" s="18" t="s">
        <v>277</v>
      </c>
      <c r="E91" s="18" t="s">
        <v>277</v>
      </c>
      <c r="F91" s="18" t="s">
        <v>277</v>
      </c>
      <c r="I91" s="18" t="s">
        <v>277</v>
      </c>
      <c r="J91" s="18" t="s">
        <v>277</v>
      </c>
      <c r="K91" s="18" t="s">
        <v>277</v>
      </c>
    </row>
    <row r="92">
      <c r="D92" s="18" t="s">
        <v>277</v>
      </c>
      <c r="E92" s="18" t="s">
        <v>277</v>
      </c>
      <c r="F92" s="18" t="s">
        <v>277</v>
      </c>
      <c r="I92" s="18" t="s">
        <v>277</v>
      </c>
      <c r="J92" s="18" t="s">
        <v>277</v>
      </c>
      <c r="K92" s="18" t="s">
        <v>277</v>
      </c>
    </row>
    <row r="93">
      <c r="D93" s="18" t="s">
        <v>277</v>
      </c>
      <c r="E93" s="18" t="s">
        <v>277</v>
      </c>
      <c r="F93" s="18" t="s">
        <v>277</v>
      </c>
      <c r="I93" s="18" t="s">
        <v>277</v>
      </c>
      <c r="J93" s="18" t="s">
        <v>277</v>
      </c>
      <c r="K93" s="18" t="s">
        <v>277</v>
      </c>
    </row>
    <row r="94">
      <c r="D94" s="18" t="s">
        <v>277</v>
      </c>
      <c r="E94" s="18" t="s">
        <v>277</v>
      </c>
      <c r="F94" s="18" t="s">
        <v>277</v>
      </c>
      <c r="I94" s="18" t="s">
        <v>277</v>
      </c>
      <c r="J94" s="18" t="s">
        <v>277</v>
      </c>
      <c r="K94" s="18" t="s">
        <v>277</v>
      </c>
    </row>
    <row r="95">
      <c r="D95" s="18" t="s">
        <v>277</v>
      </c>
      <c r="E95" s="18" t="s">
        <v>277</v>
      </c>
      <c r="F95" s="18" t="s">
        <v>277</v>
      </c>
      <c r="I95" s="18" t="s">
        <v>277</v>
      </c>
      <c r="J95" s="18" t="s">
        <v>277</v>
      </c>
      <c r="K95" s="18" t="s">
        <v>277</v>
      </c>
    </row>
    <row r="96">
      <c r="D96" s="18" t="s">
        <v>277</v>
      </c>
      <c r="E96" s="18" t="s">
        <v>277</v>
      </c>
      <c r="F96" s="18" t="s">
        <v>277</v>
      </c>
      <c r="I96" s="18" t="s">
        <v>277</v>
      </c>
      <c r="J96" s="18" t="s">
        <v>277</v>
      </c>
      <c r="K96" s="18" t="s">
        <v>277</v>
      </c>
    </row>
    <row r="97">
      <c r="D97" s="18" t="s">
        <v>277</v>
      </c>
      <c r="E97" s="18" t="s">
        <v>277</v>
      </c>
      <c r="F97" s="18" t="s">
        <v>277</v>
      </c>
      <c r="I97" s="18" t="s">
        <v>277</v>
      </c>
      <c r="J97" s="18" t="s">
        <v>277</v>
      </c>
      <c r="K97" s="18" t="s">
        <v>277</v>
      </c>
    </row>
    <row r="98">
      <c r="D98" s="18" t="s">
        <v>277</v>
      </c>
      <c r="E98" s="18" t="s">
        <v>277</v>
      </c>
      <c r="F98" s="18" t="s">
        <v>277</v>
      </c>
      <c r="I98" s="18" t="s">
        <v>277</v>
      </c>
      <c r="J98" s="18" t="s">
        <v>277</v>
      </c>
      <c r="K98" s="18" t="s">
        <v>277</v>
      </c>
    </row>
    <row r="99">
      <c r="D99" s="18" t="s">
        <v>277</v>
      </c>
      <c r="E99" s="18" t="s">
        <v>277</v>
      </c>
      <c r="F99" s="18" t="s">
        <v>277</v>
      </c>
      <c r="I99" s="18" t="s">
        <v>277</v>
      </c>
      <c r="J99" s="18" t="s">
        <v>277</v>
      </c>
      <c r="K99" s="18" t="s">
        <v>277</v>
      </c>
    </row>
    <row r="100">
      <c r="D100" s="18" t="s">
        <v>277</v>
      </c>
      <c r="E100" s="18" t="s">
        <v>277</v>
      </c>
      <c r="F100" s="18" t="s">
        <v>277</v>
      </c>
      <c r="I100" s="18" t="s">
        <v>277</v>
      </c>
      <c r="J100" s="18" t="s">
        <v>277</v>
      </c>
      <c r="K100" s="18" t="s">
        <v>277</v>
      </c>
    </row>
    <row r="101">
      <c r="D101" s="18" t="s">
        <v>277</v>
      </c>
      <c r="E101" s="18" t="s">
        <v>277</v>
      </c>
      <c r="F101" s="18" t="s">
        <v>277</v>
      </c>
      <c r="I101" s="18" t="s">
        <v>277</v>
      </c>
      <c r="J101" s="18" t="s">
        <v>277</v>
      </c>
      <c r="K101" s="18" t="s">
        <v>277</v>
      </c>
    </row>
    <row r="102">
      <c r="D102" s="18" t="s">
        <v>277</v>
      </c>
      <c r="E102" s="18" t="s">
        <v>277</v>
      </c>
      <c r="F102" s="18" t="s">
        <v>277</v>
      </c>
      <c r="I102" s="18" t="s">
        <v>277</v>
      </c>
      <c r="J102" s="18" t="s">
        <v>277</v>
      </c>
      <c r="K102" s="18" t="s">
        <v>277</v>
      </c>
    </row>
    <row r="103">
      <c r="D103" s="18" t="s">
        <v>277</v>
      </c>
      <c r="E103" s="18" t="s">
        <v>277</v>
      </c>
      <c r="F103" s="18" t="s">
        <v>277</v>
      </c>
      <c r="I103" s="18" t="s">
        <v>277</v>
      </c>
      <c r="J103" s="18" t="s">
        <v>277</v>
      </c>
      <c r="K103" s="18" t="s">
        <v>277</v>
      </c>
    </row>
    <row r="104">
      <c r="D104" s="18" t="s">
        <v>277</v>
      </c>
      <c r="E104" s="18" t="s">
        <v>277</v>
      </c>
      <c r="F104" s="18" t="s">
        <v>277</v>
      </c>
      <c r="I104" s="18" t="s">
        <v>277</v>
      </c>
      <c r="J104" s="18" t="s">
        <v>277</v>
      </c>
      <c r="K104" s="18" t="s">
        <v>277</v>
      </c>
    </row>
    <row r="105">
      <c r="D105" s="18" t="s">
        <v>277</v>
      </c>
      <c r="E105" s="18" t="s">
        <v>277</v>
      </c>
      <c r="F105" s="18" t="s">
        <v>277</v>
      </c>
      <c r="I105" s="18" t="s">
        <v>277</v>
      </c>
      <c r="J105" s="18" t="s">
        <v>277</v>
      </c>
      <c r="K105" s="18" t="s">
        <v>277</v>
      </c>
    </row>
    <row r="106">
      <c r="D106" s="18" t="s">
        <v>277</v>
      </c>
      <c r="E106" s="18" t="s">
        <v>277</v>
      </c>
      <c r="F106" s="18" t="s">
        <v>277</v>
      </c>
      <c r="I106" s="18" t="s">
        <v>277</v>
      </c>
      <c r="J106" s="18" t="s">
        <v>277</v>
      </c>
      <c r="K106" s="18" t="s">
        <v>277</v>
      </c>
    </row>
    <row r="107">
      <c r="D107" s="18" t="s">
        <v>277</v>
      </c>
      <c r="E107" s="18" t="s">
        <v>277</v>
      </c>
      <c r="F107" s="18" t="s">
        <v>277</v>
      </c>
      <c r="I107" s="18" t="s">
        <v>277</v>
      </c>
      <c r="J107" s="18" t="s">
        <v>277</v>
      </c>
      <c r="K107" s="18" t="s">
        <v>277</v>
      </c>
    </row>
    <row r="108">
      <c r="D108" s="18" t="s">
        <v>277</v>
      </c>
      <c r="E108" s="18" t="s">
        <v>277</v>
      </c>
      <c r="F108" s="18" t="s">
        <v>277</v>
      </c>
      <c r="I108" s="18" t="s">
        <v>277</v>
      </c>
      <c r="J108" s="18" t="s">
        <v>277</v>
      </c>
      <c r="K108" s="18" t="s">
        <v>277</v>
      </c>
    </row>
    <row r="109">
      <c r="D109" s="18" t="s">
        <v>277</v>
      </c>
      <c r="E109" s="18" t="s">
        <v>277</v>
      </c>
      <c r="F109" s="18" t="s">
        <v>277</v>
      </c>
      <c r="I109" s="18" t="s">
        <v>277</v>
      </c>
      <c r="J109" s="18" t="s">
        <v>277</v>
      </c>
      <c r="K109" s="18" t="s">
        <v>277</v>
      </c>
    </row>
    <row r="110">
      <c r="D110" s="18" t="s">
        <v>277</v>
      </c>
      <c r="E110" s="18" t="s">
        <v>277</v>
      </c>
      <c r="F110" s="18" t="s">
        <v>277</v>
      </c>
      <c r="I110" s="18" t="s">
        <v>277</v>
      </c>
      <c r="J110" s="18" t="s">
        <v>277</v>
      </c>
      <c r="K110" s="18" t="s">
        <v>277</v>
      </c>
    </row>
    <row r="111">
      <c r="D111" s="18" t="s">
        <v>277</v>
      </c>
      <c r="E111" s="18" t="s">
        <v>277</v>
      </c>
      <c r="F111" s="18" t="s">
        <v>277</v>
      </c>
      <c r="I111" s="18" t="s">
        <v>277</v>
      </c>
      <c r="J111" s="18" t="s">
        <v>277</v>
      </c>
      <c r="K111" s="18" t="s">
        <v>277</v>
      </c>
    </row>
    <row r="112">
      <c r="D112" s="18" t="s">
        <v>277</v>
      </c>
      <c r="E112" s="18" t="s">
        <v>277</v>
      </c>
      <c r="F112" s="18" t="s">
        <v>277</v>
      </c>
      <c r="I112" s="18" t="s">
        <v>277</v>
      </c>
      <c r="J112" s="18" t="s">
        <v>277</v>
      </c>
      <c r="K112" s="18" t="s">
        <v>277</v>
      </c>
    </row>
    <row r="113">
      <c r="D113" s="18" t="s">
        <v>277</v>
      </c>
      <c r="E113" s="18" t="s">
        <v>277</v>
      </c>
      <c r="F113" s="18" t="s">
        <v>277</v>
      </c>
      <c r="I113" s="18" t="s">
        <v>277</v>
      </c>
      <c r="J113" s="18" t="s">
        <v>277</v>
      </c>
      <c r="K113" s="18" t="s">
        <v>277</v>
      </c>
    </row>
    <row r="114">
      <c r="D114" s="18" t="s">
        <v>277</v>
      </c>
      <c r="E114" s="18" t="s">
        <v>277</v>
      </c>
      <c r="F114" s="18" t="s">
        <v>277</v>
      </c>
      <c r="I114" s="18" t="s">
        <v>277</v>
      </c>
      <c r="J114" s="18" t="s">
        <v>277</v>
      </c>
      <c r="K114" s="18" t="s">
        <v>277</v>
      </c>
    </row>
    <row r="115">
      <c r="D115" s="18" t="s">
        <v>277</v>
      </c>
      <c r="E115" s="18" t="s">
        <v>277</v>
      </c>
      <c r="F115" s="18" t="s">
        <v>277</v>
      </c>
      <c r="I115" s="18" t="s">
        <v>277</v>
      </c>
      <c r="J115" s="18" t="s">
        <v>277</v>
      </c>
      <c r="K115" s="18" t="s">
        <v>277</v>
      </c>
    </row>
    <row r="116">
      <c r="D116" s="18" t="s">
        <v>277</v>
      </c>
      <c r="E116" s="18" t="s">
        <v>277</v>
      </c>
      <c r="F116" s="18" t="s">
        <v>277</v>
      </c>
      <c r="I116" s="18" t="s">
        <v>277</v>
      </c>
      <c r="J116" s="18" t="s">
        <v>277</v>
      </c>
      <c r="K116" s="18" t="s">
        <v>277</v>
      </c>
    </row>
    <row r="117">
      <c r="D117" s="18" t="s">
        <v>277</v>
      </c>
      <c r="E117" s="18" t="s">
        <v>277</v>
      </c>
      <c r="F117" s="18" t="s">
        <v>277</v>
      </c>
      <c r="I117" s="18" t="s">
        <v>277</v>
      </c>
      <c r="J117" s="18" t="s">
        <v>277</v>
      </c>
      <c r="K117" s="18" t="s">
        <v>277</v>
      </c>
    </row>
    <row r="118">
      <c r="D118" s="18" t="s">
        <v>277</v>
      </c>
      <c r="E118" s="18" t="s">
        <v>277</v>
      </c>
      <c r="F118" s="18" t="s">
        <v>277</v>
      </c>
      <c r="I118" s="18" t="s">
        <v>277</v>
      </c>
      <c r="J118" s="18" t="s">
        <v>277</v>
      </c>
      <c r="K118" s="18" t="s">
        <v>277</v>
      </c>
    </row>
    <row r="119">
      <c r="D119" s="18" t="s">
        <v>277</v>
      </c>
      <c r="E119" s="18" t="s">
        <v>277</v>
      </c>
      <c r="F119" s="18" t="s">
        <v>277</v>
      </c>
      <c r="I119" s="18" t="s">
        <v>277</v>
      </c>
      <c r="J119" s="18" t="s">
        <v>277</v>
      </c>
      <c r="K119" s="18" t="s">
        <v>277</v>
      </c>
    </row>
    <row r="120">
      <c r="D120" s="18" t="s">
        <v>277</v>
      </c>
      <c r="E120" s="18" t="s">
        <v>277</v>
      </c>
      <c r="F120" s="18" t="s">
        <v>277</v>
      </c>
      <c r="I120" s="18" t="s">
        <v>277</v>
      </c>
      <c r="J120" s="18" t="s">
        <v>277</v>
      </c>
      <c r="K120" s="18" t="s">
        <v>277</v>
      </c>
    </row>
    <row r="121">
      <c r="D121" s="18" t="s">
        <v>277</v>
      </c>
      <c r="E121" s="18" t="s">
        <v>277</v>
      </c>
      <c r="F121" s="18" t="s">
        <v>277</v>
      </c>
      <c r="I121" s="18" t="s">
        <v>277</v>
      </c>
      <c r="J121" s="18" t="s">
        <v>277</v>
      </c>
      <c r="K121" s="18" t="s">
        <v>277</v>
      </c>
    </row>
    <row r="122">
      <c r="D122" s="18" t="s">
        <v>277</v>
      </c>
      <c r="E122" s="18" t="s">
        <v>277</v>
      </c>
      <c r="F122" s="18" t="s">
        <v>277</v>
      </c>
      <c r="I122" s="18" t="s">
        <v>277</v>
      </c>
      <c r="J122" s="18" t="s">
        <v>277</v>
      </c>
      <c r="K122" s="18" t="s">
        <v>277</v>
      </c>
    </row>
    <row r="123">
      <c r="D123" s="18" t="s">
        <v>277</v>
      </c>
      <c r="E123" s="18" t="s">
        <v>277</v>
      </c>
      <c r="F123" s="18" t="s">
        <v>277</v>
      </c>
      <c r="I123" s="18" t="s">
        <v>277</v>
      </c>
      <c r="J123" s="18" t="s">
        <v>277</v>
      </c>
      <c r="K123" s="18" t="s">
        <v>277</v>
      </c>
    </row>
    <row r="124">
      <c r="D124" s="18" t="s">
        <v>277</v>
      </c>
      <c r="E124" s="18" t="s">
        <v>277</v>
      </c>
      <c r="F124" s="18" t="s">
        <v>277</v>
      </c>
      <c r="I124" s="18" t="s">
        <v>277</v>
      </c>
      <c r="J124" s="18" t="s">
        <v>277</v>
      </c>
      <c r="K124" s="18" t="s">
        <v>277</v>
      </c>
    </row>
    <row r="125">
      <c r="D125" s="18" t="s">
        <v>277</v>
      </c>
      <c r="E125" s="18" t="s">
        <v>277</v>
      </c>
      <c r="F125" s="18" t="s">
        <v>277</v>
      </c>
      <c r="I125" s="18" t="s">
        <v>277</v>
      </c>
      <c r="J125" s="18" t="s">
        <v>277</v>
      </c>
      <c r="K125" s="18" t="s">
        <v>277</v>
      </c>
    </row>
    <row r="126">
      <c r="D126" s="18" t="s">
        <v>277</v>
      </c>
      <c r="E126" s="18" t="s">
        <v>277</v>
      </c>
      <c r="F126" s="18" t="s">
        <v>277</v>
      </c>
      <c r="I126" s="18" t="s">
        <v>277</v>
      </c>
      <c r="J126" s="18" t="s">
        <v>277</v>
      </c>
      <c r="K126" s="18" t="s">
        <v>277</v>
      </c>
    </row>
    <row r="127">
      <c r="D127" s="18" t="s">
        <v>277</v>
      </c>
      <c r="E127" s="18" t="s">
        <v>277</v>
      </c>
      <c r="F127" s="18" t="s">
        <v>277</v>
      </c>
      <c r="I127" s="18" t="s">
        <v>277</v>
      </c>
      <c r="J127" s="18" t="s">
        <v>277</v>
      </c>
      <c r="K127" s="18" t="s">
        <v>277</v>
      </c>
    </row>
    <row r="128">
      <c r="D128" s="18" t="s">
        <v>277</v>
      </c>
      <c r="E128" s="18" t="s">
        <v>277</v>
      </c>
      <c r="F128" s="18" t="s">
        <v>277</v>
      </c>
      <c r="I128" s="18" t="s">
        <v>277</v>
      </c>
      <c r="J128" s="18" t="s">
        <v>277</v>
      </c>
      <c r="K128" s="18" t="s">
        <v>277</v>
      </c>
    </row>
    <row r="129">
      <c r="D129" s="18" t="s">
        <v>277</v>
      </c>
      <c r="E129" s="18" t="s">
        <v>277</v>
      </c>
      <c r="F129" s="18" t="s">
        <v>277</v>
      </c>
      <c r="I129" s="18" t="s">
        <v>277</v>
      </c>
      <c r="J129" s="18" t="s">
        <v>277</v>
      </c>
      <c r="K129" s="18" t="s">
        <v>277</v>
      </c>
    </row>
    <row r="130">
      <c r="D130" s="18" t="s">
        <v>277</v>
      </c>
      <c r="E130" s="18" t="s">
        <v>277</v>
      </c>
      <c r="F130" s="18" t="s">
        <v>277</v>
      </c>
      <c r="I130" s="18" t="s">
        <v>277</v>
      </c>
      <c r="J130" s="18" t="s">
        <v>277</v>
      </c>
      <c r="K130" s="18" t="s">
        <v>277</v>
      </c>
    </row>
    <row r="131">
      <c r="D131" s="18" t="s">
        <v>277</v>
      </c>
      <c r="E131" s="18" t="s">
        <v>277</v>
      </c>
      <c r="F131" s="18" t="s">
        <v>277</v>
      </c>
      <c r="I131" s="18" t="s">
        <v>277</v>
      </c>
      <c r="J131" s="18" t="s">
        <v>277</v>
      </c>
      <c r="K131" s="18" t="s">
        <v>277</v>
      </c>
    </row>
    <row r="132">
      <c r="D132" s="18" t="s">
        <v>277</v>
      </c>
      <c r="E132" s="18" t="s">
        <v>277</v>
      </c>
      <c r="F132" s="18" t="s">
        <v>277</v>
      </c>
      <c r="I132" s="18" t="s">
        <v>277</v>
      </c>
      <c r="J132" s="18" t="s">
        <v>277</v>
      </c>
      <c r="K132" s="18" t="s">
        <v>277</v>
      </c>
    </row>
    <row r="133">
      <c r="D133" s="18" t="s">
        <v>277</v>
      </c>
      <c r="E133" s="18" t="s">
        <v>277</v>
      </c>
      <c r="F133" s="18" t="s">
        <v>277</v>
      </c>
      <c r="I133" s="18" t="s">
        <v>277</v>
      </c>
      <c r="J133" s="18" t="s">
        <v>277</v>
      </c>
      <c r="K133" s="18" t="s">
        <v>277</v>
      </c>
    </row>
    <row r="134">
      <c r="D134" s="18" t="s">
        <v>277</v>
      </c>
      <c r="E134" s="18" t="s">
        <v>277</v>
      </c>
      <c r="F134" s="18" t="s">
        <v>277</v>
      </c>
      <c r="I134" s="18" t="s">
        <v>277</v>
      </c>
      <c r="J134" s="18" t="s">
        <v>277</v>
      </c>
      <c r="K134" s="18" t="s">
        <v>277</v>
      </c>
    </row>
    <row r="135">
      <c r="D135" s="18" t="s">
        <v>277</v>
      </c>
      <c r="E135" s="18" t="s">
        <v>277</v>
      </c>
      <c r="F135" s="18" t="s">
        <v>277</v>
      </c>
      <c r="I135" s="18" t="s">
        <v>277</v>
      </c>
      <c r="J135" s="18" t="s">
        <v>277</v>
      </c>
      <c r="K135" s="18" t="s">
        <v>277</v>
      </c>
    </row>
    <row r="136">
      <c r="D136" s="18" t="s">
        <v>277</v>
      </c>
      <c r="E136" s="18" t="s">
        <v>277</v>
      </c>
      <c r="F136" s="18" t="s">
        <v>277</v>
      </c>
      <c r="I136" s="18" t="s">
        <v>277</v>
      </c>
      <c r="J136" s="18" t="s">
        <v>277</v>
      </c>
      <c r="K136" s="18" t="s">
        <v>277</v>
      </c>
    </row>
    <row r="137">
      <c r="D137" s="18" t="s">
        <v>277</v>
      </c>
      <c r="E137" s="18" t="s">
        <v>277</v>
      </c>
      <c r="F137" s="18" t="s">
        <v>277</v>
      </c>
      <c r="I137" s="18" t="s">
        <v>277</v>
      </c>
      <c r="J137" s="18" t="s">
        <v>277</v>
      </c>
      <c r="K137" s="18" t="s">
        <v>277</v>
      </c>
    </row>
    <row r="138">
      <c r="D138" s="18" t="s">
        <v>277</v>
      </c>
      <c r="E138" s="18" t="s">
        <v>277</v>
      </c>
      <c r="F138" s="18" t="s">
        <v>277</v>
      </c>
      <c r="I138" s="18" t="s">
        <v>277</v>
      </c>
      <c r="J138" s="18" t="s">
        <v>277</v>
      </c>
      <c r="K138" s="18" t="s">
        <v>277</v>
      </c>
    </row>
    <row r="139">
      <c r="D139" s="18" t="s">
        <v>277</v>
      </c>
      <c r="E139" s="18" t="s">
        <v>277</v>
      </c>
      <c r="F139" s="18" t="s">
        <v>277</v>
      </c>
      <c r="I139" s="18" t="s">
        <v>277</v>
      </c>
      <c r="J139" s="18" t="s">
        <v>277</v>
      </c>
      <c r="K139" s="18" t="s">
        <v>277</v>
      </c>
    </row>
    <row r="140">
      <c r="D140" s="18" t="s">
        <v>277</v>
      </c>
      <c r="E140" s="18" t="s">
        <v>277</v>
      </c>
      <c r="F140" s="18" t="s">
        <v>277</v>
      </c>
      <c r="I140" s="18" t="s">
        <v>277</v>
      </c>
      <c r="J140" s="18" t="s">
        <v>277</v>
      </c>
      <c r="K140" s="18" t="s">
        <v>277</v>
      </c>
    </row>
    <row r="141">
      <c r="D141" s="18" t="s">
        <v>277</v>
      </c>
      <c r="E141" s="18" t="s">
        <v>277</v>
      </c>
      <c r="F141" s="18" t="s">
        <v>277</v>
      </c>
      <c r="I141" s="18" t="s">
        <v>277</v>
      </c>
      <c r="J141" s="18" t="s">
        <v>277</v>
      </c>
      <c r="K141" s="18" t="s">
        <v>277</v>
      </c>
    </row>
    <row r="142">
      <c r="D142" s="18" t="s">
        <v>277</v>
      </c>
      <c r="E142" s="18" t="s">
        <v>277</v>
      </c>
      <c r="F142" s="18" t="s">
        <v>277</v>
      </c>
      <c r="I142" s="18" t="s">
        <v>277</v>
      </c>
      <c r="J142" s="18" t="s">
        <v>277</v>
      </c>
      <c r="K142" s="18" t="s">
        <v>277</v>
      </c>
    </row>
    <row r="143">
      <c r="D143" s="18" t="s">
        <v>277</v>
      </c>
      <c r="E143" s="18" t="s">
        <v>277</v>
      </c>
      <c r="F143" s="18" t="s">
        <v>277</v>
      </c>
      <c r="I143" s="18" t="s">
        <v>277</v>
      </c>
      <c r="J143" s="18" t="s">
        <v>277</v>
      </c>
      <c r="K143" s="18" t="s">
        <v>277</v>
      </c>
    </row>
    <row r="144">
      <c r="D144" s="18" t="s">
        <v>277</v>
      </c>
      <c r="E144" s="18" t="s">
        <v>277</v>
      </c>
      <c r="F144" s="18" t="s">
        <v>277</v>
      </c>
      <c r="I144" s="18" t="s">
        <v>277</v>
      </c>
      <c r="J144" s="18" t="s">
        <v>277</v>
      </c>
      <c r="K144" s="18" t="s">
        <v>277</v>
      </c>
    </row>
    <row r="145">
      <c r="D145" s="18" t="s">
        <v>277</v>
      </c>
      <c r="E145" s="18" t="s">
        <v>277</v>
      </c>
      <c r="F145" s="18" t="s">
        <v>277</v>
      </c>
      <c r="I145" s="18" t="s">
        <v>277</v>
      </c>
      <c r="J145" s="18" t="s">
        <v>277</v>
      </c>
      <c r="K145" s="18" t="s">
        <v>277</v>
      </c>
    </row>
    <row r="146">
      <c r="D146" s="18" t="s">
        <v>277</v>
      </c>
      <c r="E146" s="18" t="s">
        <v>277</v>
      </c>
      <c r="F146" s="18" t="s">
        <v>277</v>
      </c>
      <c r="I146" s="18" t="s">
        <v>277</v>
      </c>
      <c r="J146" s="18" t="s">
        <v>277</v>
      </c>
      <c r="K146" s="18" t="s">
        <v>277</v>
      </c>
    </row>
    <row r="147">
      <c r="D147" s="18" t="s">
        <v>277</v>
      </c>
      <c r="E147" s="18" t="s">
        <v>277</v>
      </c>
      <c r="F147" s="18" t="s">
        <v>277</v>
      </c>
      <c r="I147" s="18" t="s">
        <v>277</v>
      </c>
      <c r="J147" s="18" t="s">
        <v>277</v>
      </c>
      <c r="K147" s="18" t="s">
        <v>277</v>
      </c>
    </row>
    <row r="148">
      <c r="D148" s="18" t="s">
        <v>277</v>
      </c>
      <c r="E148" s="18" t="s">
        <v>277</v>
      </c>
      <c r="F148" s="18" t="s">
        <v>277</v>
      </c>
      <c r="I148" s="18" t="s">
        <v>277</v>
      </c>
      <c r="J148" s="18" t="s">
        <v>277</v>
      </c>
      <c r="K148" s="18" t="s">
        <v>277</v>
      </c>
    </row>
    <row r="149">
      <c r="D149" s="18" t="s">
        <v>277</v>
      </c>
      <c r="E149" s="18" t="s">
        <v>277</v>
      </c>
      <c r="F149" s="18" t="s">
        <v>277</v>
      </c>
      <c r="I149" s="18" t="s">
        <v>277</v>
      </c>
      <c r="J149" s="18" t="s">
        <v>277</v>
      </c>
      <c r="K149" s="18" t="s">
        <v>277</v>
      </c>
    </row>
    <row r="150">
      <c r="D150" s="18" t="s">
        <v>277</v>
      </c>
      <c r="E150" s="18" t="s">
        <v>277</v>
      </c>
      <c r="F150" s="18" t="s">
        <v>277</v>
      </c>
      <c r="I150" s="18" t="s">
        <v>277</v>
      </c>
      <c r="J150" s="18" t="s">
        <v>277</v>
      </c>
      <c r="K150" s="18" t="s">
        <v>277</v>
      </c>
    </row>
    <row r="151">
      <c r="D151" s="18" t="s">
        <v>277</v>
      </c>
      <c r="E151" s="18" t="s">
        <v>277</v>
      </c>
      <c r="F151" s="18" t="s">
        <v>277</v>
      </c>
      <c r="I151" s="18" t="s">
        <v>277</v>
      </c>
      <c r="J151" s="18" t="s">
        <v>277</v>
      </c>
      <c r="K151" s="18" t="s">
        <v>277</v>
      </c>
    </row>
    <row r="152">
      <c r="D152" s="18" t="s">
        <v>277</v>
      </c>
      <c r="E152" s="18" t="s">
        <v>277</v>
      </c>
      <c r="F152" s="18" t="s">
        <v>277</v>
      </c>
      <c r="I152" s="18" t="s">
        <v>277</v>
      </c>
      <c r="J152" s="18" t="s">
        <v>277</v>
      </c>
      <c r="K152" s="18" t="s">
        <v>277</v>
      </c>
    </row>
    <row r="153">
      <c r="D153" s="18" t="s">
        <v>277</v>
      </c>
      <c r="E153" s="18" t="s">
        <v>277</v>
      </c>
      <c r="F153" s="18" t="s">
        <v>277</v>
      </c>
      <c r="I153" s="18" t="s">
        <v>277</v>
      </c>
      <c r="J153" s="18" t="s">
        <v>277</v>
      </c>
      <c r="K153" s="18" t="s">
        <v>277</v>
      </c>
    </row>
    <row r="154">
      <c r="D154" s="18" t="s">
        <v>277</v>
      </c>
      <c r="E154" s="18" t="s">
        <v>277</v>
      </c>
      <c r="F154" s="18" t="s">
        <v>277</v>
      </c>
      <c r="I154" s="18" t="s">
        <v>277</v>
      </c>
      <c r="J154" s="18" t="s">
        <v>277</v>
      </c>
      <c r="K154" s="18" t="s">
        <v>277</v>
      </c>
    </row>
    <row r="155">
      <c r="D155" s="18" t="s">
        <v>277</v>
      </c>
      <c r="E155" s="18" t="s">
        <v>277</v>
      </c>
      <c r="F155" s="18" t="s">
        <v>277</v>
      </c>
      <c r="I155" s="18" t="s">
        <v>277</v>
      </c>
      <c r="J155" s="18" t="s">
        <v>277</v>
      </c>
      <c r="K155" s="18" t="s">
        <v>277</v>
      </c>
    </row>
    <row r="156">
      <c r="D156" s="18" t="s">
        <v>277</v>
      </c>
      <c r="E156" s="18" t="s">
        <v>277</v>
      </c>
      <c r="F156" s="18" t="s">
        <v>277</v>
      </c>
      <c r="I156" s="18" t="s">
        <v>277</v>
      </c>
      <c r="J156" s="18" t="s">
        <v>277</v>
      </c>
      <c r="K156" s="18" t="s">
        <v>277</v>
      </c>
    </row>
    <row r="157">
      <c r="D157" s="18" t="s">
        <v>277</v>
      </c>
      <c r="E157" s="18" t="s">
        <v>277</v>
      </c>
      <c r="F157" s="18" t="s">
        <v>277</v>
      </c>
      <c r="I157" s="18" t="s">
        <v>277</v>
      </c>
      <c r="J157" s="18" t="s">
        <v>277</v>
      </c>
      <c r="K157" s="18" t="s">
        <v>277</v>
      </c>
    </row>
    <row r="158">
      <c r="D158" s="18" t="s">
        <v>277</v>
      </c>
      <c r="E158" s="18" t="s">
        <v>277</v>
      </c>
      <c r="F158" s="18" t="s">
        <v>277</v>
      </c>
      <c r="I158" s="18" t="s">
        <v>277</v>
      </c>
      <c r="J158" s="18" t="s">
        <v>277</v>
      </c>
      <c r="K158" s="18" t="s">
        <v>277</v>
      </c>
    </row>
    <row r="159">
      <c r="D159" s="18" t="s">
        <v>277</v>
      </c>
      <c r="E159" s="18" t="s">
        <v>277</v>
      </c>
      <c r="F159" s="18" t="s">
        <v>277</v>
      </c>
      <c r="I159" s="18" t="s">
        <v>277</v>
      </c>
      <c r="J159" s="18" t="s">
        <v>277</v>
      </c>
      <c r="K159" s="18" t="s">
        <v>277</v>
      </c>
    </row>
    <row r="160">
      <c r="D160" s="18" t="s">
        <v>277</v>
      </c>
      <c r="E160" s="18" t="s">
        <v>277</v>
      </c>
      <c r="F160" s="18" t="s">
        <v>277</v>
      </c>
      <c r="I160" s="18" t="s">
        <v>277</v>
      </c>
      <c r="J160" s="18" t="s">
        <v>277</v>
      </c>
      <c r="K160" s="18" t="s">
        <v>277</v>
      </c>
    </row>
    <row r="161">
      <c r="D161" s="18" t="s">
        <v>277</v>
      </c>
      <c r="E161" s="18" t="s">
        <v>277</v>
      </c>
      <c r="F161" s="18" t="s">
        <v>277</v>
      </c>
      <c r="I161" s="18" t="s">
        <v>277</v>
      </c>
      <c r="J161" s="18" t="s">
        <v>277</v>
      </c>
      <c r="K161" s="18" t="s">
        <v>277</v>
      </c>
    </row>
    <row r="162">
      <c r="D162" s="18" t="s">
        <v>277</v>
      </c>
      <c r="E162" s="18" t="s">
        <v>277</v>
      </c>
      <c r="F162" s="18" t="s">
        <v>277</v>
      </c>
      <c r="I162" s="18" t="s">
        <v>277</v>
      </c>
      <c r="J162" s="18" t="s">
        <v>277</v>
      </c>
      <c r="K162" s="18" t="s">
        <v>277</v>
      </c>
    </row>
    <row r="163">
      <c r="D163" s="18" t="s">
        <v>277</v>
      </c>
      <c r="E163" s="18" t="s">
        <v>277</v>
      </c>
      <c r="F163" s="18" t="s">
        <v>277</v>
      </c>
      <c r="I163" s="18" t="s">
        <v>277</v>
      </c>
      <c r="J163" s="18" t="s">
        <v>277</v>
      </c>
      <c r="K163" s="18" t="s">
        <v>277</v>
      </c>
    </row>
    <row r="164">
      <c r="D164" s="18" t="s">
        <v>277</v>
      </c>
      <c r="E164" s="18" t="s">
        <v>277</v>
      </c>
      <c r="F164" s="18" t="s">
        <v>277</v>
      </c>
      <c r="I164" s="18" t="s">
        <v>277</v>
      </c>
      <c r="J164" s="18" t="s">
        <v>277</v>
      </c>
      <c r="K164" s="18" t="s">
        <v>277</v>
      </c>
    </row>
    <row r="165">
      <c r="D165" s="18" t="s">
        <v>277</v>
      </c>
      <c r="E165" s="18" t="s">
        <v>277</v>
      </c>
      <c r="F165" s="18" t="s">
        <v>277</v>
      </c>
      <c r="I165" s="18" t="s">
        <v>277</v>
      </c>
      <c r="J165" s="18" t="s">
        <v>277</v>
      </c>
      <c r="K165" s="18" t="s">
        <v>277</v>
      </c>
    </row>
    <row r="166">
      <c r="D166" s="18" t="s">
        <v>277</v>
      </c>
      <c r="E166" s="18" t="s">
        <v>277</v>
      </c>
      <c r="F166" s="18" t="s">
        <v>277</v>
      </c>
      <c r="I166" s="18" t="s">
        <v>277</v>
      </c>
      <c r="J166" s="18" t="s">
        <v>277</v>
      </c>
      <c r="K166" s="18" t="s">
        <v>277</v>
      </c>
    </row>
    <row r="167">
      <c r="D167" s="18" t="s">
        <v>277</v>
      </c>
      <c r="E167" s="18" t="s">
        <v>277</v>
      </c>
      <c r="F167" s="18" t="s">
        <v>277</v>
      </c>
      <c r="I167" s="18" t="s">
        <v>277</v>
      </c>
      <c r="J167" s="18" t="s">
        <v>277</v>
      </c>
      <c r="K167" s="18" t="s">
        <v>277</v>
      </c>
    </row>
    <row r="168">
      <c r="D168" s="18" t="s">
        <v>277</v>
      </c>
      <c r="E168" s="18" t="s">
        <v>277</v>
      </c>
      <c r="F168" s="18" t="s">
        <v>277</v>
      </c>
      <c r="I168" s="18" t="s">
        <v>277</v>
      </c>
      <c r="J168" s="18" t="s">
        <v>277</v>
      </c>
      <c r="K168" s="18" t="s">
        <v>277</v>
      </c>
    </row>
    <row r="169">
      <c r="D169" s="18" t="s">
        <v>277</v>
      </c>
      <c r="E169" s="18" t="s">
        <v>277</v>
      </c>
      <c r="F169" s="18" t="s">
        <v>277</v>
      </c>
      <c r="I169" s="18" t="s">
        <v>277</v>
      </c>
      <c r="J169" s="18" t="s">
        <v>277</v>
      </c>
      <c r="K169" s="18" t="s">
        <v>277</v>
      </c>
    </row>
    <row r="170">
      <c r="D170" s="18" t="s">
        <v>277</v>
      </c>
      <c r="E170" s="18" t="s">
        <v>277</v>
      </c>
      <c r="F170" s="18" t="s">
        <v>277</v>
      </c>
      <c r="I170" s="18" t="s">
        <v>277</v>
      </c>
      <c r="J170" s="18" t="s">
        <v>277</v>
      </c>
      <c r="K170" s="18" t="s">
        <v>277</v>
      </c>
    </row>
    <row r="171">
      <c r="D171" s="18" t="s">
        <v>277</v>
      </c>
      <c r="E171" s="18" t="s">
        <v>277</v>
      </c>
      <c r="F171" s="18" t="s">
        <v>277</v>
      </c>
      <c r="I171" s="18" t="s">
        <v>277</v>
      </c>
      <c r="J171" s="18" t="s">
        <v>277</v>
      </c>
      <c r="K171" s="18" t="s">
        <v>277</v>
      </c>
    </row>
    <row r="172">
      <c r="D172" s="18" t="s">
        <v>277</v>
      </c>
      <c r="E172" s="18" t="s">
        <v>277</v>
      </c>
      <c r="F172" s="18" t="s">
        <v>277</v>
      </c>
      <c r="I172" s="18" t="s">
        <v>277</v>
      </c>
      <c r="J172" s="18" t="s">
        <v>277</v>
      </c>
      <c r="K172" s="18" t="s">
        <v>277</v>
      </c>
    </row>
    <row r="173">
      <c r="D173" s="18" t="s">
        <v>277</v>
      </c>
      <c r="E173" s="18" t="s">
        <v>277</v>
      </c>
      <c r="F173" s="18" t="s">
        <v>277</v>
      </c>
      <c r="I173" s="18" t="s">
        <v>277</v>
      </c>
      <c r="J173" s="18" t="s">
        <v>277</v>
      </c>
      <c r="K173" s="18" t="s">
        <v>277</v>
      </c>
    </row>
    <row r="174">
      <c r="D174" s="18" t="s">
        <v>277</v>
      </c>
      <c r="E174" s="18" t="s">
        <v>277</v>
      </c>
      <c r="F174" s="18" t="s">
        <v>277</v>
      </c>
      <c r="I174" s="18" t="s">
        <v>277</v>
      </c>
      <c r="J174" s="18" t="s">
        <v>277</v>
      </c>
      <c r="K174" s="18" t="s">
        <v>277</v>
      </c>
    </row>
    <row r="175">
      <c r="D175" s="18" t="s">
        <v>277</v>
      </c>
      <c r="E175" s="18" t="s">
        <v>277</v>
      </c>
      <c r="F175" s="18" t="s">
        <v>277</v>
      </c>
      <c r="I175" s="18" t="s">
        <v>277</v>
      </c>
      <c r="J175" s="18" t="s">
        <v>277</v>
      </c>
      <c r="K175" s="18" t="s">
        <v>277</v>
      </c>
    </row>
    <row r="176">
      <c r="D176" s="18" t="s">
        <v>277</v>
      </c>
      <c r="E176" s="18" t="s">
        <v>277</v>
      </c>
      <c r="F176" s="18" t="s">
        <v>277</v>
      </c>
      <c r="I176" s="18" t="s">
        <v>277</v>
      </c>
      <c r="J176" s="18" t="s">
        <v>277</v>
      </c>
      <c r="K176" s="18" t="s">
        <v>277</v>
      </c>
    </row>
    <row r="177">
      <c r="D177" s="18" t="s">
        <v>277</v>
      </c>
      <c r="E177" s="18" t="s">
        <v>277</v>
      </c>
      <c r="F177" s="18" t="s">
        <v>277</v>
      </c>
      <c r="I177" s="18" t="s">
        <v>277</v>
      </c>
      <c r="J177" s="18" t="s">
        <v>277</v>
      </c>
      <c r="K177" s="18" t="s">
        <v>277</v>
      </c>
    </row>
    <row r="178">
      <c r="D178" s="18" t="s">
        <v>277</v>
      </c>
      <c r="E178" s="18" t="s">
        <v>277</v>
      </c>
      <c r="F178" s="18" t="s">
        <v>277</v>
      </c>
      <c r="I178" s="18" t="s">
        <v>277</v>
      </c>
      <c r="J178" s="18" t="s">
        <v>277</v>
      </c>
      <c r="K178" s="18" t="s">
        <v>277</v>
      </c>
    </row>
    <row r="179">
      <c r="D179" s="18" t="s">
        <v>277</v>
      </c>
      <c r="E179" s="18" t="s">
        <v>277</v>
      </c>
      <c r="F179" s="18" t="s">
        <v>277</v>
      </c>
      <c r="I179" s="18" t="s">
        <v>277</v>
      </c>
      <c r="J179" s="18" t="s">
        <v>277</v>
      </c>
      <c r="K179" s="18" t="s">
        <v>277</v>
      </c>
    </row>
    <row r="180">
      <c r="D180" s="18" t="s">
        <v>277</v>
      </c>
      <c r="E180" s="18" t="s">
        <v>277</v>
      </c>
      <c r="F180" s="18" t="s">
        <v>277</v>
      </c>
      <c r="I180" s="18" t="s">
        <v>277</v>
      </c>
      <c r="J180" s="18" t="s">
        <v>277</v>
      </c>
      <c r="K180" s="18" t="s">
        <v>277</v>
      </c>
    </row>
    <row r="181">
      <c r="D181" s="18" t="s">
        <v>277</v>
      </c>
      <c r="E181" s="18" t="s">
        <v>277</v>
      </c>
      <c r="F181" s="18" t="s">
        <v>277</v>
      </c>
      <c r="I181" s="18" t="s">
        <v>277</v>
      </c>
      <c r="J181" s="18" t="s">
        <v>277</v>
      </c>
      <c r="K181" s="18" t="s">
        <v>277</v>
      </c>
    </row>
    <row r="182">
      <c r="D182" s="18" t="s">
        <v>277</v>
      </c>
      <c r="E182" s="18" t="s">
        <v>277</v>
      </c>
      <c r="F182" s="18" t="s">
        <v>277</v>
      </c>
      <c r="I182" s="18" t="s">
        <v>277</v>
      </c>
      <c r="J182" s="18" t="s">
        <v>277</v>
      </c>
      <c r="K182" s="18" t="s">
        <v>277</v>
      </c>
    </row>
    <row r="183">
      <c r="D183" s="18" t="s">
        <v>277</v>
      </c>
      <c r="E183" s="18" t="s">
        <v>277</v>
      </c>
      <c r="F183" s="18" t="s">
        <v>277</v>
      </c>
      <c r="I183" s="18" t="s">
        <v>277</v>
      </c>
      <c r="J183" s="18" t="s">
        <v>277</v>
      </c>
      <c r="K183" s="18" t="s">
        <v>277</v>
      </c>
    </row>
    <row r="184">
      <c r="D184" s="18" t="s">
        <v>277</v>
      </c>
      <c r="E184" s="18" t="s">
        <v>277</v>
      </c>
      <c r="F184" s="18" t="s">
        <v>277</v>
      </c>
      <c r="I184" s="18" t="s">
        <v>277</v>
      </c>
      <c r="J184" s="18" t="s">
        <v>277</v>
      </c>
      <c r="K184" s="18" t="s">
        <v>277</v>
      </c>
    </row>
    <row r="185">
      <c r="D185" s="18" t="s">
        <v>277</v>
      </c>
      <c r="E185" s="18" t="s">
        <v>277</v>
      </c>
      <c r="F185" s="18" t="s">
        <v>277</v>
      </c>
      <c r="I185" s="18" t="s">
        <v>277</v>
      </c>
      <c r="J185" s="18" t="s">
        <v>277</v>
      </c>
      <c r="K185" s="18" t="s">
        <v>277</v>
      </c>
    </row>
    <row r="186">
      <c r="D186" s="18" t="s">
        <v>277</v>
      </c>
      <c r="E186" s="18" t="s">
        <v>277</v>
      </c>
      <c r="F186" s="18" t="s">
        <v>277</v>
      </c>
      <c r="I186" s="18" t="s">
        <v>277</v>
      </c>
      <c r="J186" s="18" t="s">
        <v>277</v>
      </c>
      <c r="K186" s="18" t="s">
        <v>277</v>
      </c>
    </row>
    <row r="187">
      <c r="D187" s="18" t="s">
        <v>277</v>
      </c>
      <c r="E187" s="18" t="s">
        <v>277</v>
      </c>
      <c r="F187" s="18" t="s">
        <v>277</v>
      </c>
      <c r="I187" s="18" t="s">
        <v>277</v>
      </c>
      <c r="J187" s="18" t="s">
        <v>277</v>
      </c>
      <c r="K187" s="18" t="s">
        <v>277</v>
      </c>
    </row>
    <row r="188">
      <c r="D188" s="18" t="s">
        <v>277</v>
      </c>
      <c r="E188" s="18" t="s">
        <v>277</v>
      </c>
      <c r="F188" s="18" t="s">
        <v>277</v>
      </c>
      <c r="I188" s="18" t="s">
        <v>277</v>
      </c>
      <c r="J188" s="18" t="s">
        <v>277</v>
      </c>
      <c r="K188" s="18" t="s">
        <v>277</v>
      </c>
    </row>
    <row r="189">
      <c r="D189" s="18" t="s">
        <v>277</v>
      </c>
      <c r="E189" s="18" t="s">
        <v>277</v>
      </c>
      <c r="F189" s="18" t="s">
        <v>277</v>
      </c>
      <c r="I189" s="18" t="s">
        <v>277</v>
      </c>
      <c r="J189" s="18" t="s">
        <v>277</v>
      </c>
      <c r="K189" s="18" t="s">
        <v>277</v>
      </c>
    </row>
    <row r="190">
      <c r="D190" s="18" t="s">
        <v>277</v>
      </c>
      <c r="E190" s="18" t="s">
        <v>277</v>
      </c>
      <c r="F190" s="18" t="s">
        <v>277</v>
      </c>
      <c r="I190" s="18" t="s">
        <v>277</v>
      </c>
      <c r="J190" s="18" t="s">
        <v>277</v>
      </c>
      <c r="K190" s="18" t="s">
        <v>277</v>
      </c>
    </row>
    <row r="191">
      <c r="D191" s="18" t="s">
        <v>277</v>
      </c>
      <c r="E191" s="18" t="s">
        <v>277</v>
      </c>
      <c r="F191" s="18" t="s">
        <v>277</v>
      </c>
      <c r="I191" s="18" t="s">
        <v>277</v>
      </c>
      <c r="J191" s="18" t="s">
        <v>277</v>
      </c>
      <c r="K191" s="18" t="s">
        <v>277</v>
      </c>
    </row>
    <row r="192">
      <c r="D192" s="18" t="s">
        <v>277</v>
      </c>
      <c r="E192" s="18" t="s">
        <v>277</v>
      </c>
      <c r="F192" s="18" t="s">
        <v>277</v>
      </c>
      <c r="I192" s="18" t="s">
        <v>277</v>
      </c>
      <c r="J192" s="18" t="s">
        <v>277</v>
      </c>
      <c r="K192" s="18" t="s">
        <v>277</v>
      </c>
    </row>
    <row r="193">
      <c r="D193" s="18" t="s">
        <v>277</v>
      </c>
      <c r="E193" s="18" t="s">
        <v>277</v>
      </c>
      <c r="F193" s="18" t="s">
        <v>277</v>
      </c>
      <c r="I193" s="18" t="s">
        <v>277</v>
      </c>
      <c r="J193" s="18" t="s">
        <v>277</v>
      </c>
      <c r="K193" s="18" t="s">
        <v>277</v>
      </c>
    </row>
    <row r="194">
      <c r="D194" s="18" t="s">
        <v>277</v>
      </c>
      <c r="E194" s="18" t="s">
        <v>277</v>
      </c>
      <c r="F194" s="18" t="s">
        <v>277</v>
      </c>
      <c r="I194" s="18" t="s">
        <v>277</v>
      </c>
      <c r="J194" s="18" t="s">
        <v>277</v>
      </c>
      <c r="K194" s="18" t="s">
        <v>277</v>
      </c>
    </row>
    <row r="195">
      <c r="D195" s="18" t="s">
        <v>277</v>
      </c>
      <c r="E195" s="18" t="s">
        <v>277</v>
      </c>
      <c r="F195" s="18" t="s">
        <v>277</v>
      </c>
      <c r="I195" s="18" t="s">
        <v>277</v>
      </c>
      <c r="J195" s="18" t="s">
        <v>277</v>
      </c>
      <c r="K195" s="18" t="s">
        <v>277</v>
      </c>
    </row>
    <row r="196">
      <c r="D196" s="18" t="s">
        <v>277</v>
      </c>
      <c r="E196" s="18" t="s">
        <v>277</v>
      </c>
      <c r="F196" s="18" t="s">
        <v>277</v>
      </c>
      <c r="I196" s="18" t="s">
        <v>277</v>
      </c>
      <c r="J196" s="18" t="s">
        <v>277</v>
      </c>
      <c r="K196" s="18" t="s">
        <v>277</v>
      </c>
    </row>
    <row r="197">
      <c r="D197" s="18" t="s">
        <v>277</v>
      </c>
      <c r="E197" s="18" t="s">
        <v>277</v>
      </c>
      <c r="F197" s="18" t="s">
        <v>277</v>
      </c>
      <c r="I197" s="18" t="s">
        <v>277</v>
      </c>
      <c r="J197" s="18" t="s">
        <v>277</v>
      </c>
      <c r="K197" s="18" t="s">
        <v>277</v>
      </c>
    </row>
    <row r="198">
      <c r="D198" s="18" t="s">
        <v>277</v>
      </c>
      <c r="E198" s="18" t="s">
        <v>277</v>
      </c>
      <c r="F198" s="18" t="s">
        <v>277</v>
      </c>
      <c r="I198" s="18" t="s">
        <v>277</v>
      </c>
      <c r="J198" s="18" t="s">
        <v>277</v>
      </c>
      <c r="K198" s="18" t="s">
        <v>277</v>
      </c>
    </row>
    <row r="199">
      <c r="D199" s="18" t="s">
        <v>277</v>
      </c>
      <c r="E199" s="18" t="s">
        <v>277</v>
      </c>
      <c r="F199" s="18" t="s">
        <v>277</v>
      </c>
      <c r="I199" s="18" t="s">
        <v>277</v>
      </c>
      <c r="J199" s="18" t="s">
        <v>277</v>
      </c>
      <c r="K199" s="18" t="s">
        <v>277</v>
      </c>
    </row>
    <row r="200">
      <c r="D200" s="18" t="s">
        <v>277</v>
      </c>
      <c r="E200" s="18" t="s">
        <v>277</v>
      </c>
      <c r="F200" s="18" t="s">
        <v>277</v>
      </c>
      <c r="I200" s="18" t="s">
        <v>277</v>
      </c>
      <c r="J200" s="18" t="s">
        <v>277</v>
      </c>
      <c r="K200" s="18" t="s">
        <v>277</v>
      </c>
    </row>
    <row r="201">
      <c r="D201" s="18" t="s">
        <v>277</v>
      </c>
      <c r="E201" s="18" t="s">
        <v>277</v>
      </c>
      <c r="F201" s="18" t="s">
        <v>277</v>
      </c>
      <c r="I201" s="18" t="s">
        <v>277</v>
      </c>
      <c r="J201" s="18" t="s">
        <v>277</v>
      </c>
      <c r="K201" s="18" t="s">
        <v>277</v>
      </c>
    </row>
    <row r="202">
      <c r="D202" s="18" t="s">
        <v>277</v>
      </c>
      <c r="E202" s="18" t="s">
        <v>277</v>
      </c>
      <c r="F202" s="18" t="s">
        <v>277</v>
      </c>
      <c r="I202" s="18" t="s">
        <v>277</v>
      </c>
      <c r="J202" s="18" t="s">
        <v>277</v>
      </c>
      <c r="K202" s="18" t="s">
        <v>277</v>
      </c>
    </row>
    <row r="203">
      <c r="D203" s="18" t="s">
        <v>277</v>
      </c>
      <c r="E203" s="18" t="s">
        <v>277</v>
      </c>
      <c r="F203" s="18" t="s">
        <v>277</v>
      </c>
      <c r="I203" s="18" t="s">
        <v>277</v>
      </c>
      <c r="J203" s="18" t="s">
        <v>277</v>
      </c>
      <c r="K203" s="18" t="s">
        <v>277</v>
      </c>
    </row>
    <row r="204">
      <c r="D204" s="18" t="s">
        <v>277</v>
      </c>
      <c r="E204" s="18" t="s">
        <v>277</v>
      </c>
      <c r="F204" s="18" t="s">
        <v>277</v>
      </c>
      <c r="I204" s="18" t="s">
        <v>277</v>
      </c>
      <c r="J204" s="18" t="s">
        <v>277</v>
      </c>
      <c r="K204" s="18" t="s">
        <v>277</v>
      </c>
    </row>
    <row r="205">
      <c r="D205" s="18" t="s">
        <v>277</v>
      </c>
      <c r="E205" s="18" t="s">
        <v>277</v>
      </c>
      <c r="F205" s="18" t="s">
        <v>277</v>
      </c>
      <c r="I205" s="18" t="s">
        <v>277</v>
      </c>
      <c r="J205" s="18" t="s">
        <v>277</v>
      </c>
      <c r="K205" s="18" t="s">
        <v>277</v>
      </c>
    </row>
    <row r="206">
      <c r="D206" s="18" t="s">
        <v>277</v>
      </c>
      <c r="E206" s="18" t="s">
        <v>277</v>
      </c>
      <c r="F206" s="18" t="s">
        <v>277</v>
      </c>
      <c r="I206" s="18" t="s">
        <v>277</v>
      </c>
      <c r="J206" s="18" t="s">
        <v>277</v>
      </c>
      <c r="K206" s="18" t="s">
        <v>277</v>
      </c>
    </row>
    <row r="207">
      <c r="D207" s="18" t="s">
        <v>277</v>
      </c>
      <c r="E207" s="18" t="s">
        <v>277</v>
      </c>
      <c r="F207" s="18" t="s">
        <v>277</v>
      </c>
      <c r="I207" s="18" t="s">
        <v>277</v>
      </c>
      <c r="J207" s="18" t="s">
        <v>277</v>
      </c>
      <c r="K207" s="18" t="s">
        <v>277</v>
      </c>
    </row>
    <row r="208">
      <c r="D208" s="18" t="s">
        <v>277</v>
      </c>
      <c r="E208" s="18" t="s">
        <v>277</v>
      </c>
      <c r="F208" s="18" t="s">
        <v>277</v>
      </c>
      <c r="I208" s="18" t="s">
        <v>277</v>
      </c>
      <c r="J208" s="18" t="s">
        <v>277</v>
      </c>
      <c r="K208" s="18" t="s">
        <v>277</v>
      </c>
    </row>
    <row r="209">
      <c r="D209" s="18" t="s">
        <v>277</v>
      </c>
      <c r="E209" s="18" t="s">
        <v>277</v>
      </c>
      <c r="F209" s="18" t="s">
        <v>277</v>
      </c>
      <c r="I209" s="18" t="s">
        <v>277</v>
      </c>
      <c r="J209" s="18" t="s">
        <v>277</v>
      </c>
      <c r="K209" s="18" t="s">
        <v>277</v>
      </c>
    </row>
    <row r="210">
      <c r="D210" s="18" t="s">
        <v>277</v>
      </c>
      <c r="E210" s="18" t="s">
        <v>277</v>
      </c>
      <c r="F210" s="18" t="s">
        <v>277</v>
      </c>
      <c r="I210" s="18" t="s">
        <v>277</v>
      </c>
      <c r="J210" s="18" t="s">
        <v>277</v>
      </c>
      <c r="K210" s="18" t="s">
        <v>277</v>
      </c>
    </row>
    <row r="211">
      <c r="D211" s="18" t="s">
        <v>277</v>
      </c>
      <c r="E211" s="18" t="s">
        <v>277</v>
      </c>
      <c r="F211" s="18" t="s">
        <v>277</v>
      </c>
      <c r="I211" s="18" t="s">
        <v>277</v>
      </c>
      <c r="J211" s="18" t="s">
        <v>277</v>
      </c>
      <c r="K211" s="18" t="s">
        <v>277</v>
      </c>
    </row>
    <row r="212">
      <c r="D212" s="18" t="s">
        <v>277</v>
      </c>
      <c r="E212" s="18" t="s">
        <v>277</v>
      </c>
      <c r="F212" s="18" t="s">
        <v>277</v>
      </c>
      <c r="I212" s="18" t="s">
        <v>277</v>
      </c>
      <c r="J212" s="18" t="s">
        <v>277</v>
      </c>
      <c r="K212" s="18" t="s">
        <v>277</v>
      </c>
    </row>
    <row r="213">
      <c r="D213" s="18" t="s">
        <v>277</v>
      </c>
      <c r="E213" s="18" t="s">
        <v>277</v>
      </c>
      <c r="F213" s="18" t="s">
        <v>277</v>
      </c>
      <c r="I213" s="18" t="s">
        <v>277</v>
      </c>
      <c r="J213" s="18" t="s">
        <v>277</v>
      </c>
      <c r="K213" s="18" t="s">
        <v>277</v>
      </c>
    </row>
    <row r="214">
      <c r="D214" s="18" t="s">
        <v>277</v>
      </c>
      <c r="E214" s="18" t="s">
        <v>277</v>
      </c>
      <c r="F214" s="18" t="s">
        <v>277</v>
      </c>
      <c r="I214" s="18" t="s">
        <v>277</v>
      </c>
      <c r="J214" s="18" t="s">
        <v>277</v>
      </c>
      <c r="K214" s="18" t="s">
        <v>277</v>
      </c>
    </row>
    <row r="215">
      <c r="D215" s="18" t="s">
        <v>277</v>
      </c>
      <c r="E215" s="18" t="s">
        <v>277</v>
      </c>
      <c r="F215" s="18" t="s">
        <v>277</v>
      </c>
      <c r="I215" s="18" t="s">
        <v>277</v>
      </c>
      <c r="J215" s="18" t="s">
        <v>277</v>
      </c>
      <c r="K215" s="18" t="s">
        <v>277</v>
      </c>
    </row>
    <row r="216">
      <c r="D216" s="18" t="s">
        <v>277</v>
      </c>
      <c r="E216" s="18" t="s">
        <v>277</v>
      </c>
      <c r="F216" s="18" t="s">
        <v>277</v>
      </c>
      <c r="I216" s="18" t="s">
        <v>277</v>
      </c>
      <c r="J216" s="18" t="s">
        <v>277</v>
      </c>
      <c r="K216" s="18" t="s">
        <v>277</v>
      </c>
    </row>
    <row r="217">
      <c r="D217" s="18" t="s">
        <v>277</v>
      </c>
      <c r="E217" s="18" t="s">
        <v>277</v>
      </c>
      <c r="F217" s="18" t="s">
        <v>277</v>
      </c>
      <c r="I217" s="18" t="s">
        <v>277</v>
      </c>
      <c r="J217" s="18" t="s">
        <v>277</v>
      </c>
      <c r="K217" s="18" t="s">
        <v>277</v>
      </c>
    </row>
    <row r="218">
      <c r="D218" s="18" t="s">
        <v>277</v>
      </c>
      <c r="E218" s="18" t="s">
        <v>277</v>
      </c>
      <c r="F218" s="18" t="s">
        <v>277</v>
      </c>
      <c r="I218" s="18" t="s">
        <v>277</v>
      </c>
      <c r="J218" s="18" t="s">
        <v>277</v>
      </c>
      <c r="K218" s="18" t="s">
        <v>277</v>
      </c>
    </row>
    <row r="219">
      <c r="D219" s="18" t="s">
        <v>277</v>
      </c>
      <c r="E219" s="18" t="s">
        <v>277</v>
      </c>
      <c r="F219" s="18" t="s">
        <v>277</v>
      </c>
      <c r="I219" s="18" t="s">
        <v>277</v>
      </c>
      <c r="J219" s="18" t="s">
        <v>277</v>
      </c>
      <c r="K219" s="18" t="s">
        <v>277</v>
      </c>
    </row>
    <row r="220">
      <c r="D220" s="18" t="s">
        <v>277</v>
      </c>
      <c r="E220" s="18" t="s">
        <v>277</v>
      </c>
      <c r="F220" s="18" t="s">
        <v>277</v>
      </c>
      <c r="I220" s="18" t="s">
        <v>277</v>
      </c>
      <c r="J220" s="18" t="s">
        <v>277</v>
      </c>
      <c r="K220" s="18" t="s">
        <v>277</v>
      </c>
    </row>
    <row r="221">
      <c r="D221" s="18" t="s">
        <v>277</v>
      </c>
      <c r="E221" s="18" t="s">
        <v>277</v>
      </c>
      <c r="F221" s="18" t="s">
        <v>277</v>
      </c>
      <c r="I221" s="18" t="s">
        <v>277</v>
      </c>
      <c r="J221" s="18" t="s">
        <v>277</v>
      </c>
      <c r="K221" s="18" t="s">
        <v>277</v>
      </c>
    </row>
    <row r="222">
      <c r="D222" s="18" t="s">
        <v>277</v>
      </c>
      <c r="E222" s="18" t="s">
        <v>277</v>
      </c>
      <c r="F222" s="18" t="s">
        <v>277</v>
      </c>
      <c r="I222" s="18" t="s">
        <v>277</v>
      </c>
      <c r="J222" s="18" t="s">
        <v>277</v>
      </c>
      <c r="K222" s="18" t="s">
        <v>277</v>
      </c>
    </row>
    <row r="223">
      <c r="D223" s="18" t="s">
        <v>277</v>
      </c>
      <c r="E223" s="18" t="s">
        <v>277</v>
      </c>
      <c r="F223" s="18" t="s">
        <v>277</v>
      </c>
      <c r="I223" s="18" t="s">
        <v>277</v>
      </c>
      <c r="J223" s="18" t="s">
        <v>277</v>
      </c>
      <c r="K223" s="18" t="s">
        <v>277</v>
      </c>
    </row>
    <row r="224">
      <c r="D224" s="18" t="s">
        <v>277</v>
      </c>
      <c r="E224" s="18" t="s">
        <v>277</v>
      </c>
      <c r="F224" s="18" t="s">
        <v>277</v>
      </c>
      <c r="I224" s="18" t="s">
        <v>277</v>
      </c>
      <c r="J224" s="18" t="s">
        <v>277</v>
      </c>
      <c r="K224" s="18" t="s">
        <v>277</v>
      </c>
    </row>
    <row r="225">
      <c r="D225" s="18" t="s">
        <v>277</v>
      </c>
      <c r="E225" s="18" t="s">
        <v>277</v>
      </c>
      <c r="F225" s="18" t="s">
        <v>277</v>
      </c>
      <c r="I225" s="18" t="s">
        <v>277</v>
      </c>
      <c r="J225" s="18" t="s">
        <v>277</v>
      </c>
      <c r="K225" s="18" t="s">
        <v>277</v>
      </c>
    </row>
    <row r="226">
      <c r="D226" s="18" t="s">
        <v>277</v>
      </c>
      <c r="E226" s="18" t="s">
        <v>277</v>
      </c>
      <c r="F226" s="18" t="s">
        <v>277</v>
      </c>
      <c r="I226" s="18" t="s">
        <v>277</v>
      </c>
      <c r="J226" s="18" t="s">
        <v>277</v>
      </c>
      <c r="K226" s="18" t="s">
        <v>277</v>
      </c>
    </row>
    <row r="227">
      <c r="D227" s="18" t="s">
        <v>277</v>
      </c>
      <c r="E227" s="18" t="s">
        <v>277</v>
      </c>
      <c r="F227" s="18" t="s">
        <v>277</v>
      </c>
      <c r="I227" s="18" t="s">
        <v>277</v>
      </c>
      <c r="J227" s="18" t="s">
        <v>277</v>
      </c>
      <c r="K227" s="18" t="s">
        <v>277</v>
      </c>
    </row>
    <row r="228">
      <c r="D228" s="18" t="s">
        <v>277</v>
      </c>
      <c r="E228" s="18" t="s">
        <v>277</v>
      </c>
      <c r="F228" s="18" t="s">
        <v>277</v>
      </c>
      <c r="I228" s="18" t="s">
        <v>277</v>
      </c>
      <c r="J228" s="18" t="s">
        <v>277</v>
      </c>
      <c r="K228" s="18" t="s">
        <v>277</v>
      </c>
    </row>
    <row r="229">
      <c r="D229" s="18" t="s">
        <v>277</v>
      </c>
      <c r="E229" s="18" t="s">
        <v>277</v>
      </c>
      <c r="F229" s="18" t="s">
        <v>277</v>
      </c>
      <c r="I229" s="18" t="s">
        <v>277</v>
      </c>
      <c r="J229" s="18" t="s">
        <v>277</v>
      </c>
      <c r="K229" s="18" t="s">
        <v>277</v>
      </c>
    </row>
    <row r="230">
      <c r="D230" s="18" t="s">
        <v>277</v>
      </c>
      <c r="E230" s="18" t="s">
        <v>277</v>
      </c>
      <c r="F230" s="18" t="s">
        <v>277</v>
      </c>
      <c r="I230" s="18" t="s">
        <v>277</v>
      </c>
      <c r="J230" s="18" t="s">
        <v>277</v>
      </c>
      <c r="K230" s="18" t="s">
        <v>277</v>
      </c>
    </row>
    <row r="231">
      <c r="D231" s="18" t="s">
        <v>277</v>
      </c>
      <c r="E231" s="18" t="s">
        <v>277</v>
      </c>
      <c r="F231" s="18" t="s">
        <v>277</v>
      </c>
      <c r="I231" s="18" t="s">
        <v>277</v>
      </c>
      <c r="J231" s="18" t="s">
        <v>277</v>
      </c>
      <c r="K231" s="18" t="s">
        <v>277</v>
      </c>
    </row>
    <row r="232">
      <c r="D232" s="18" t="s">
        <v>277</v>
      </c>
      <c r="E232" s="18" t="s">
        <v>277</v>
      </c>
      <c r="F232" s="18" t="s">
        <v>277</v>
      </c>
      <c r="I232" s="18" t="s">
        <v>277</v>
      </c>
      <c r="J232" s="18" t="s">
        <v>277</v>
      </c>
      <c r="K232" s="18" t="s">
        <v>277</v>
      </c>
    </row>
    <row r="233">
      <c r="D233" s="18" t="s">
        <v>277</v>
      </c>
      <c r="E233" s="18" t="s">
        <v>277</v>
      </c>
      <c r="F233" s="18" t="s">
        <v>277</v>
      </c>
      <c r="I233" s="18" t="s">
        <v>277</v>
      </c>
      <c r="J233" s="18" t="s">
        <v>277</v>
      </c>
      <c r="K233" s="18" t="s">
        <v>277</v>
      </c>
    </row>
    <row r="234">
      <c r="D234" s="18" t="s">
        <v>277</v>
      </c>
      <c r="E234" s="18" t="s">
        <v>277</v>
      </c>
      <c r="F234" s="18" t="s">
        <v>277</v>
      </c>
      <c r="I234" s="18" t="s">
        <v>277</v>
      </c>
      <c r="J234" s="18" t="s">
        <v>277</v>
      </c>
      <c r="K234" s="18" t="s">
        <v>277</v>
      </c>
    </row>
    <row r="235">
      <c r="D235" s="18" t="s">
        <v>277</v>
      </c>
      <c r="E235" s="18" t="s">
        <v>277</v>
      </c>
      <c r="F235" s="18" t="s">
        <v>277</v>
      </c>
      <c r="I235" s="18" t="s">
        <v>277</v>
      </c>
      <c r="J235" s="18" t="s">
        <v>277</v>
      </c>
      <c r="K235" s="18" t="s">
        <v>277</v>
      </c>
    </row>
    <row r="236">
      <c r="D236" s="18" t="s">
        <v>277</v>
      </c>
      <c r="E236" s="18" t="s">
        <v>277</v>
      </c>
      <c r="F236" s="18" t="s">
        <v>277</v>
      </c>
      <c r="I236" s="18" t="s">
        <v>277</v>
      </c>
      <c r="J236" s="18" t="s">
        <v>277</v>
      </c>
      <c r="K236" s="18" t="s">
        <v>277</v>
      </c>
    </row>
    <row r="237">
      <c r="D237" s="18" t="s">
        <v>277</v>
      </c>
      <c r="E237" s="18" t="s">
        <v>277</v>
      </c>
      <c r="F237" s="18" t="s">
        <v>277</v>
      </c>
      <c r="I237" s="18" t="s">
        <v>277</v>
      </c>
      <c r="J237" s="18" t="s">
        <v>277</v>
      </c>
      <c r="K237" s="18" t="s">
        <v>277</v>
      </c>
    </row>
    <row r="238">
      <c r="D238" s="18" t="s">
        <v>277</v>
      </c>
      <c r="E238" s="18" t="s">
        <v>277</v>
      </c>
      <c r="F238" s="18" t="s">
        <v>277</v>
      </c>
      <c r="I238" s="18" t="s">
        <v>277</v>
      </c>
      <c r="J238" s="18" t="s">
        <v>277</v>
      </c>
      <c r="K238" s="18" t="s">
        <v>277</v>
      </c>
    </row>
    <row r="239">
      <c r="D239" s="18" t="s">
        <v>277</v>
      </c>
      <c r="E239" s="18" t="s">
        <v>277</v>
      </c>
      <c r="F239" s="18" t="s">
        <v>277</v>
      </c>
      <c r="I239" s="18" t="s">
        <v>277</v>
      </c>
      <c r="J239" s="18" t="s">
        <v>277</v>
      </c>
      <c r="K239" s="18" t="s">
        <v>277</v>
      </c>
    </row>
    <row r="240">
      <c r="D240" s="18" t="s">
        <v>277</v>
      </c>
      <c r="E240" s="18" t="s">
        <v>277</v>
      </c>
      <c r="F240" s="18" t="s">
        <v>277</v>
      </c>
      <c r="I240" s="18" t="s">
        <v>277</v>
      </c>
      <c r="J240" s="18" t="s">
        <v>277</v>
      </c>
      <c r="K240" s="18" t="s">
        <v>277</v>
      </c>
    </row>
    <row r="241">
      <c r="D241" s="18" t="s">
        <v>277</v>
      </c>
      <c r="E241" s="18" t="s">
        <v>277</v>
      </c>
      <c r="F241" s="18" t="s">
        <v>277</v>
      </c>
      <c r="I241" s="18" t="s">
        <v>277</v>
      </c>
      <c r="J241" s="18" t="s">
        <v>277</v>
      </c>
      <c r="K241" s="18" t="s">
        <v>277</v>
      </c>
    </row>
    <row r="242">
      <c r="D242" s="18" t="s">
        <v>277</v>
      </c>
      <c r="E242" s="18" t="s">
        <v>277</v>
      </c>
      <c r="F242" s="18" t="s">
        <v>277</v>
      </c>
      <c r="I242" s="18" t="s">
        <v>277</v>
      </c>
      <c r="J242" s="18" t="s">
        <v>277</v>
      </c>
      <c r="K242" s="18" t="s">
        <v>277</v>
      </c>
    </row>
    <row r="243">
      <c r="D243" s="18" t="s">
        <v>277</v>
      </c>
      <c r="E243" s="18" t="s">
        <v>277</v>
      </c>
      <c r="F243" s="18" t="s">
        <v>277</v>
      </c>
      <c r="I243" s="18" t="s">
        <v>277</v>
      </c>
      <c r="J243" s="18" t="s">
        <v>277</v>
      </c>
      <c r="K243" s="18" t="s">
        <v>277</v>
      </c>
    </row>
    <row r="244">
      <c r="D244" s="18" t="s">
        <v>277</v>
      </c>
      <c r="E244" s="18" t="s">
        <v>277</v>
      </c>
      <c r="F244" s="18" t="s">
        <v>277</v>
      </c>
      <c r="I244" s="18" t="s">
        <v>277</v>
      </c>
      <c r="J244" s="18" t="s">
        <v>277</v>
      </c>
      <c r="K244" s="18" t="s">
        <v>277</v>
      </c>
    </row>
    <row r="245">
      <c r="D245" s="18" t="s">
        <v>277</v>
      </c>
      <c r="E245" s="18" t="s">
        <v>277</v>
      </c>
      <c r="F245" s="18" t="s">
        <v>277</v>
      </c>
      <c r="I245" s="18" t="s">
        <v>277</v>
      </c>
      <c r="J245" s="18" t="s">
        <v>277</v>
      </c>
      <c r="K245" s="18" t="s">
        <v>277</v>
      </c>
    </row>
    <row r="246">
      <c r="D246" s="18" t="s">
        <v>277</v>
      </c>
      <c r="E246" s="18" t="s">
        <v>277</v>
      </c>
      <c r="F246" s="18" t="s">
        <v>277</v>
      </c>
      <c r="I246" s="18" t="s">
        <v>277</v>
      </c>
      <c r="J246" s="18" t="s">
        <v>277</v>
      </c>
      <c r="K246" s="18" t="s">
        <v>277</v>
      </c>
    </row>
    <row r="247">
      <c r="D247" s="18" t="s">
        <v>277</v>
      </c>
      <c r="E247" s="18" t="s">
        <v>277</v>
      </c>
      <c r="F247" s="18" t="s">
        <v>277</v>
      </c>
      <c r="I247" s="18" t="s">
        <v>277</v>
      </c>
      <c r="J247" s="18" t="s">
        <v>277</v>
      </c>
      <c r="K247" s="18" t="s">
        <v>277</v>
      </c>
    </row>
    <row r="248">
      <c r="D248" s="18" t="s">
        <v>277</v>
      </c>
      <c r="E248" s="18" t="s">
        <v>277</v>
      </c>
      <c r="F248" s="18" t="s">
        <v>277</v>
      </c>
      <c r="I248" s="18" t="s">
        <v>277</v>
      </c>
      <c r="J248" s="18" t="s">
        <v>277</v>
      </c>
      <c r="K248" s="18" t="s">
        <v>277</v>
      </c>
    </row>
    <row r="249">
      <c r="D249" s="18" t="s">
        <v>277</v>
      </c>
      <c r="E249" s="18" t="s">
        <v>277</v>
      </c>
      <c r="F249" s="18" t="s">
        <v>277</v>
      </c>
      <c r="I249" s="18" t="s">
        <v>277</v>
      </c>
      <c r="J249" s="18" t="s">
        <v>277</v>
      </c>
      <c r="K249" s="18" t="s">
        <v>277</v>
      </c>
    </row>
    <row r="250">
      <c r="D250" s="18" t="s">
        <v>277</v>
      </c>
      <c r="E250" s="18" t="s">
        <v>277</v>
      </c>
      <c r="F250" s="18" t="s">
        <v>277</v>
      </c>
      <c r="I250" s="18" t="s">
        <v>277</v>
      </c>
      <c r="J250" s="18" t="s">
        <v>277</v>
      </c>
      <c r="K250" s="18" t="s">
        <v>277</v>
      </c>
    </row>
    <row r="251">
      <c r="D251" s="18" t="s">
        <v>277</v>
      </c>
      <c r="E251" s="18" t="s">
        <v>277</v>
      </c>
      <c r="F251" s="18" t="s">
        <v>277</v>
      </c>
      <c r="I251" s="18" t="s">
        <v>277</v>
      </c>
      <c r="J251" s="18" t="s">
        <v>277</v>
      </c>
      <c r="K251" s="18" t="s">
        <v>277</v>
      </c>
    </row>
    <row r="252">
      <c r="D252" s="18" t="s">
        <v>277</v>
      </c>
      <c r="E252" s="18" t="s">
        <v>277</v>
      </c>
      <c r="F252" s="18" t="s">
        <v>277</v>
      </c>
      <c r="I252" s="18" t="s">
        <v>277</v>
      </c>
      <c r="J252" s="18" t="s">
        <v>277</v>
      </c>
      <c r="K252" s="18" t="s">
        <v>277</v>
      </c>
    </row>
    <row r="253">
      <c r="D253" s="18" t="s">
        <v>277</v>
      </c>
      <c r="E253" s="18" t="s">
        <v>277</v>
      </c>
      <c r="F253" s="18" t="s">
        <v>277</v>
      </c>
      <c r="I253" s="18" t="s">
        <v>277</v>
      </c>
      <c r="J253" s="18" t="s">
        <v>277</v>
      </c>
      <c r="K253" s="18" t="s">
        <v>277</v>
      </c>
    </row>
    <row r="254">
      <c r="D254" s="18" t="s">
        <v>277</v>
      </c>
      <c r="E254" s="18" t="s">
        <v>277</v>
      </c>
      <c r="F254" s="18" t="s">
        <v>277</v>
      </c>
      <c r="I254" s="18" t="s">
        <v>277</v>
      </c>
      <c r="J254" s="18" t="s">
        <v>277</v>
      </c>
      <c r="K254" s="18" t="s">
        <v>277</v>
      </c>
    </row>
    <row r="255">
      <c r="D255" s="18" t="s">
        <v>277</v>
      </c>
      <c r="E255" s="18" t="s">
        <v>277</v>
      </c>
      <c r="F255" s="18" t="s">
        <v>277</v>
      </c>
      <c r="I255" s="18" t="s">
        <v>277</v>
      </c>
      <c r="J255" s="18" t="s">
        <v>277</v>
      </c>
      <c r="K255" s="18" t="s">
        <v>277</v>
      </c>
    </row>
    <row r="256">
      <c r="D256" s="18" t="s">
        <v>277</v>
      </c>
      <c r="E256" s="18" t="s">
        <v>277</v>
      </c>
      <c r="F256" s="18" t="s">
        <v>277</v>
      </c>
      <c r="I256" s="18" t="s">
        <v>277</v>
      </c>
      <c r="J256" s="18" t="s">
        <v>277</v>
      </c>
      <c r="K256" s="18" t="s">
        <v>277</v>
      </c>
    </row>
    <row r="257">
      <c r="D257" s="18" t="s">
        <v>277</v>
      </c>
      <c r="E257" s="18" t="s">
        <v>277</v>
      </c>
      <c r="F257" s="18" t="s">
        <v>277</v>
      </c>
      <c r="I257" s="18" t="s">
        <v>277</v>
      </c>
      <c r="J257" s="18" t="s">
        <v>277</v>
      </c>
      <c r="K257" s="18" t="s">
        <v>277</v>
      </c>
    </row>
    <row r="258">
      <c r="D258" s="18" t="s">
        <v>277</v>
      </c>
      <c r="E258" s="18" t="s">
        <v>277</v>
      </c>
      <c r="F258" s="18" t="s">
        <v>277</v>
      </c>
      <c r="I258" s="18" t="s">
        <v>277</v>
      </c>
      <c r="J258" s="18" t="s">
        <v>277</v>
      </c>
      <c r="K258" s="18" t="s">
        <v>277</v>
      </c>
    </row>
    <row r="259">
      <c r="D259" s="18" t="s">
        <v>277</v>
      </c>
      <c r="E259" s="18" t="s">
        <v>277</v>
      </c>
      <c r="F259" s="18" t="s">
        <v>277</v>
      </c>
      <c r="I259" s="18" t="s">
        <v>277</v>
      </c>
      <c r="J259" s="18" t="s">
        <v>277</v>
      </c>
      <c r="K259" s="18" t="s">
        <v>277</v>
      </c>
    </row>
    <row r="260">
      <c r="D260" s="18" t="s">
        <v>277</v>
      </c>
      <c r="E260" s="18" t="s">
        <v>277</v>
      </c>
      <c r="F260" s="18" t="s">
        <v>277</v>
      </c>
      <c r="I260" s="18" t="s">
        <v>277</v>
      </c>
      <c r="J260" s="18" t="s">
        <v>277</v>
      </c>
      <c r="K260" s="18" t="s">
        <v>277</v>
      </c>
    </row>
    <row r="261">
      <c r="D261" s="18" t="s">
        <v>277</v>
      </c>
      <c r="E261" s="18" t="s">
        <v>277</v>
      </c>
      <c r="F261" s="18" t="s">
        <v>277</v>
      </c>
      <c r="I261" s="18" t="s">
        <v>277</v>
      </c>
      <c r="J261" s="18" t="s">
        <v>277</v>
      </c>
      <c r="K261" s="18" t="s">
        <v>277</v>
      </c>
    </row>
    <row r="262">
      <c r="D262" s="18" t="s">
        <v>277</v>
      </c>
      <c r="E262" s="18" t="s">
        <v>277</v>
      </c>
      <c r="F262" s="18" t="s">
        <v>277</v>
      </c>
      <c r="I262" s="18" t="s">
        <v>277</v>
      </c>
      <c r="J262" s="18" t="s">
        <v>277</v>
      </c>
      <c r="K262" s="18" t="s">
        <v>277</v>
      </c>
    </row>
    <row r="263">
      <c r="D263" s="18" t="s">
        <v>277</v>
      </c>
      <c r="E263" s="18" t="s">
        <v>277</v>
      </c>
      <c r="F263" s="18" t="s">
        <v>277</v>
      </c>
      <c r="I263" s="18" t="s">
        <v>277</v>
      </c>
      <c r="J263" s="18" t="s">
        <v>277</v>
      </c>
      <c r="K263" s="18" t="s">
        <v>277</v>
      </c>
    </row>
    <row r="264">
      <c r="D264" s="18" t="s">
        <v>277</v>
      </c>
      <c r="E264" s="18" t="s">
        <v>277</v>
      </c>
      <c r="F264" s="18" t="s">
        <v>277</v>
      </c>
      <c r="I264" s="18" t="s">
        <v>277</v>
      </c>
      <c r="J264" s="18" t="s">
        <v>277</v>
      </c>
      <c r="K264" s="18" t="s">
        <v>277</v>
      </c>
    </row>
    <row r="265">
      <c r="D265" s="18" t="s">
        <v>277</v>
      </c>
      <c r="E265" s="18" t="s">
        <v>277</v>
      </c>
      <c r="F265" s="18" t="s">
        <v>277</v>
      </c>
      <c r="I265" s="18" t="s">
        <v>277</v>
      </c>
      <c r="J265" s="18" t="s">
        <v>277</v>
      </c>
      <c r="K265" s="18" t="s">
        <v>277</v>
      </c>
    </row>
    <row r="266">
      <c r="D266" s="18" t="s">
        <v>277</v>
      </c>
      <c r="E266" s="18" t="s">
        <v>277</v>
      </c>
      <c r="F266" s="18" t="s">
        <v>277</v>
      </c>
      <c r="I266" s="18" t="s">
        <v>277</v>
      </c>
      <c r="J266" s="18" t="s">
        <v>277</v>
      </c>
      <c r="K266" s="18" t="s">
        <v>277</v>
      </c>
    </row>
    <row r="267">
      <c r="D267" s="18" t="s">
        <v>277</v>
      </c>
      <c r="E267" s="18" t="s">
        <v>277</v>
      </c>
      <c r="F267" s="18" t="s">
        <v>277</v>
      </c>
      <c r="I267" s="18" t="s">
        <v>277</v>
      </c>
      <c r="J267" s="18" t="s">
        <v>277</v>
      </c>
      <c r="K267" s="18" t="s">
        <v>277</v>
      </c>
    </row>
    <row r="268">
      <c r="D268" s="18" t="s">
        <v>277</v>
      </c>
      <c r="E268" s="18" t="s">
        <v>277</v>
      </c>
      <c r="F268" s="18" t="s">
        <v>277</v>
      </c>
      <c r="I268" s="18" t="s">
        <v>277</v>
      </c>
      <c r="J268" s="18" t="s">
        <v>277</v>
      </c>
      <c r="K268" s="18" t="s">
        <v>277</v>
      </c>
    </row>
    <row r="269">
      <c r="D269" s="18" t="s">
        <v>277</v>
      </c>
      <c r="E269" s="18" t="s">
        <v>277</v>
      </c>
      <c r="F269" s="18" t="s">
        <v>277</v>
      </c>
      <c r="I269" s="18" t="s">
        <v>277</v>
      </c>
      <c r="J269" s="18" t="s">
        <v>277</v>
      </c>
      <c r="K269" s="18" t="s">
        <v>277</v>
      </c>
    </row>
    <row r="270">
      <c r="D270" s="18" t="s">
        <v>277</v>
      </c>
      <c r="E270" s="18" t="s">
        <v>277</v>
      </c>
      <c r="F270" s="18" t="s">
        <v>277</v>
      </c>
      <c r="I270" s="18" t="s">
        <v>277</v>
      </c>
      <c r="J270" s="18" t="s">
        <v>277</v>
      </c>
      <c r="K270" s="18" t="s">
        <v>277</v>
      </c>
    </row>
    <row r="271">
      <c r="D271" s="18" t="s">
        <v>277</v>
      </c>
      <c r="E271" s="18" t="s">
        <v>277</v>
      </c>
      <c r="F271" s="18" t="s">
        <v>277</v>
      </c>
      <c r="I271" s="18" t="s">
        <v>277</v>
      </c>
      <c r="J271" s="18" t="s">
        <v>277</v>
      </c>
      <c r="K271" s="18" t="s">
        <v>277</v>
      </c>
    </row>
    <row r="272">
      <c r="D272" s="18" t="s">
        <v>277</v>
      </c>
      <c r="E272" s="18" t="s">
        <v>277</v>
      </c>
      <c r="F272" s="18" t="s">
        <v>277</v>
      </c>
      <c r="I272" s="18" t="s">
        <v>277</v>
      </c>
      <c r="J272" s="18" t="s">
        <v>277</v>
      </c>
      <c r="K272" s="18" t="s">
        <v>277</v>
      </c>
    </row>
    <row r="273">
      <c r="D273" s="18" t="s">
        <v>277</v>
      </c>
      <c r="E273" s="18" t="s">
        <v>277</v>
      </c>
      <c r="F273" s="18" t="s">
        <v>277</v>
      </c>
      <c r="I273" s="18" t="s">
        <v>277</v>
      </c>
      <c r="J273" s="18" t="s">
        <v>277</v>
      </c>
      <c r="K273" s="18" t="s">
        <v>277</v>
      </c>
    </row>
    <row r="274">
      <c r="D274" s="18" t="s">
        <v>277</v>
      </c>
      <c r="E274" s="18" t="s">
        <v>277</v>
      </c>
      <c r="F274" s="18" t="s">
        <v>277</v>
      </c>
      <c r="I274" s="18" t="s">
        <v>277</v>
      </c>
      <c r="J274" s="18" t="s">
        <v>277</v>
      </c>
      <c r="K274" s="18" t="s">
        <v>277</v>
      </c>
    </row>
    <row r="275">
      <c r="D275" s="18" t="s">
        <v>277</v>
      </c>
      <c r="E275" s="18" t="s">
        <v>277</v>
      </c>
      <c r="F275" s="18" t="s">
        <v>277</v>
      </c>
      <c r="I275" s="18" t="s">
        <v>277</v>
      </c>
      <c r="J275" s="18" t="s">
        <v>277</v>
      </c>
      <c r="K275" s="18" t="s">
        <v>277</v>
      </c>
    </row>
    <row r="276">
      <c r="D276" s="18" t="s">
        <v>277</v>
      </c>
      <c r="E276" s="18" t="s">
        <v>277</v>
      </c>
      <c r="F276" s="18" t="s">
        <v>277</v>
      </c>
      <c r="I276" s="18" t="s">
        <v>277</v>
      </c>
      <c r="J276" s="18" t="s">
        <v>277</v>
      </c>
      <c r="K276" s="18" t="s">
        <v>277</v>
      </c>
    </row>
    <row r="277">
      <c r="D277" s="18" t="s">
        <v>277</v>
      </c>
      <c r="E277" s="18" t="s">
        <v>277</v>
      </c>
      <c r="F277" s="18" t="s">
        <v>277</v>
      </c>
      <c r="I277" s="18" t="s">
        <v>277</v>
      </c>
      <c r="J277" s="18" t="s">
        <v>277</v>
      </c>
      <c r="K277" s="18" t="s">
        <v>277</v>
      </c>
    </row>
    <row r="278">
      <c r="D278" s="18" t="s">
        <v>277</v>
      </c>
      <c r="E278" s="18" t="s">
        <v>277</v>
      </c>
      <c r="F278" s="18" t="s">
        <v>277</v>
      </c>
      <c r="I278" s="18" t="s">
        <v>277</v>
      </c>
      <c r="J278" s="18" t="s">
        <v>277</v>
      </c>
      <c r="K278" s="18" t="s">
        <v>277</v>
      </c>
    </row>
    <row r="279">
      <c r="D279" s="18" t="s">
        <v>277</v>
      </c>
      <c r="E279" s="18" t="s">
        <v>277</v>
      </c>
      <c r="F279" s="18" t="s">
        <v>277</v>
      </c>
      <c r="I279" s="18" t="s">
        <v>277</v>
      </c>
      <c r="J279" s="18" t="s">
        <v>277</v>
      </c>
      <c r="K279" s="18" t="s">
        <v>277</v>
      </c>
    </row>
    <row r="280">
      <c r="D280" s="18" t="s">
        <v>277</v>
      </c>
      <c r="E280" s="18" t="s">
        <v>277</v>
      </c>
      <c r="F280" s="18" t="s">
        <v>277</v>
      </c>
      <c r="I280" s="18" t="s">
        <v>277</v>
      </c>
      <c r="J280" s="18" t="s">
        <v>277</v>
      </c>
      <c r="K280" s="18" t="s">
        <v>277</v>
      </c>
    </row>
    <row r="281">
      <c r="D281" s="18" t="s">
        <v>277</v>
      </c>
      <c r="E281" s="18" t="s">
        <v>277</v>
      </c>
      <c r="F281" s="18" t="s">
        <v>277</v>
      </c>
      <c r="I281" s="18" t="s">
        <v>277</v>
      </c>
      <c r="J281" s="18" t="s">
        <v>277</v>
      </c>
      <c r="K281" s="18" t="s">
        <v>277</v>
      </c>
    </row>
    <row r="282">
      <c r="D282" s="18" t="s">
        <v>277</v>
      </c>
      <c r="E282" s="18" t="s">
        <v>277</v>
      </c>
      <c r="F282" s="18" t="s">
        <v>277</v>
      </c>
      <c r="I282" s="18" t="s">
        <v>277</v>
      </c>
      <c r="J282" s="18" t="s">
        <v>277</v>
      </c>
      <c r="K282" s="18" t="s">
        <v>277</v>
      </c>
    </row>
    <row r="283">
      <c r="D283" s="18" t="s">
        <v>277</v>
      </c>
      <c r="E283" s="18" t="s">
        <v>277</v>
      </c>
      <c r="F283" s="18" t="s">
        <v>277</v>
      </c>
      <c r="I283" s="18" t="s">
        <v>277</v>
      </c>
      <c r="J283" s="18" t="s">
        <v>277</v>
      </c>
      <c r="K283" s="18" t="s">
        <v>277</v>
      </c>
    </row>
    <row r="284">
      <c r="D284" s="18" t="s">
        <v>277</v>
      </c>
      <c r="E284" s="18" t="s">
        <v>277</v>
      </c>
      <c r="F284" s="18" t="s">
        <v>277</v>
      </c>
      <c r="I284" s="18" t="s">
        <v>277</v>
      </c>
      <c r="J284" s="18" t="s">
        <v>277</v>
      </c>
      <c r="K284" s="18" t="s">
        <v>277</v>
      </c>
    </row>
    <row r="285">
      <c r="D285" s="18" t="s">
        <v>277</v>
      </c>
      <c r="E285" s="18" t="s">
        <v>277</v>
      </c>
      <c r="F285" s="18" t="s">
        <v>277</v>
      </c>
      <c r="I285" s="18" t="s">
        <v>277</v>
      </c>
      <c r="J285" s="18" t="s">
        <v>277</v>
      </c>
      <c r="K285" s="18" t="s">
        <v>277</v>
      </c>
    </row>
    <row r="286">
      <c r="D286" s="18" t="s">
        <v>277</v>
      </c>
      <c r="E286" s="18" t="s">
        <v>277</v>
      </c>
      <c r="F286" s="18" t="s">
        <v>277</v>
      </c>
      <c r="I286" s="18" t="s">
        <v>277</v>
      </c>
      <c r="J286" s="18" t="s">
        <v>277</v>
      </c>
      <c r="K286" s="18" t="s">
        <v>277</v>
      </c>
    </row>
    <row r="287">
      <c r="D287" s="18" t="s">
        <v>277</v>
      </c>
      <c r="E287" s="18" t="s">
        <v>277</v>
      </c>
      <c r="F287" s="18" t="s">
        <v>277</v>
      </c>
      <c r="I287" s="18" t="s">
        <v>277</v>
      </c>
      <c r="J287" s="18" t="s">
        <v>277</v>
      </c>
      <c r="K287" s="18" t="s">
        <v>277</v>
      </c>
    </row>
    <row r="288">
      <c r="D288" s="18" t="s">
        <v>277</v>
      </c>
      <c r="E288" s="18" t="s">
        <v>277</v>
      </c>
      <c r="F288" s="18" t="s">
        <v>277</v>
      </c>
      <c r="I288" s="18" t="s">
        <v>277</v>
      </c>
      <c r="J288" s="18" t="s">
        <v>277</v>
      </c>
      <c r="K288" s="18" t="s">
        <v>277</v>
      </c>
    </row>
    <row r="289">
      <c r="D289" s="18" t="s">
        <v>277</v>
      </c>
      <c r="E289" s="18" t="s">
        <v>277</v>
      </c>
      <c r="F289" s="18" t="s">
        <v>277</v>
      </c>
      <c r="I289" s="18" t="s">
        <v>277</v>
      </c>
      <c r="J289" s="18" t="s">
        <v>277</v>
      </c>
      <c r="K289" s="18" t="s">
        <v>277</v>
      </c>
    </row>
    <row r="290">
      <c r="D290" s="18" t="s">
        <v>277</v>
      </c>
      <c r="E290" s="18" t="s">
        <v>277</v>
      </c>
      <c r="F290" s="18" t="s">
        <v>277</v>
      </c>
      <c r="I290" s="18" t="s">
        <v>277</v>
      </c>
      <c r="J290" s="18" t="s">
        <v>277</v>
      </c>
      <c r="K290" s="18" t="s">
        <v>277</v>
      </c>
    </row>
    <row r="291">
      <c r="D291" s="18" t="s">
        <v>277</v>
      </c>
      <c r="E291" s="18" t="s">
        <v>277</v>
      </c>
      <c r="F291" s="18" t="s">
        <v>277</v>
      </c>
      <c r="I291" s="18" t="s">
        <v>277</v>
      </c>
      <c r="J291" s="18" t="s">
        <v>277</v>
      </c>
      <c r="K291" s="18" t="s">
        <v>277</v>
      </c>
    </row>
    <row r="292">
      <c r="D292" s="18" t="s">
        <v>277</v>
      </c>
      <c r="E292" s="18" t="s">
        <v>277</v>
      </c>
      <c r="F292" s="18" t="s">
        <v>277</v>
      </c>
      <c r="I292" s="18" t="s">
        <v>277</v>
      </c>
      <c r="J292" s="18" t="s">
        <v>277</v>
      </c>
      <c r="K292" s="18" t="s">
        <v>277</v>
      </c>
    </row>
    <row r="293">
      <c r="D293" s="18" t="s">
        <v>277</v>
      </c>
      <c r="E293" s="18" t="s">
        <v>277</v>
      </c>
      <c r="F293" s="18" t="s">
        <v>277</v>
      </c>
      <c r="I293" s="18" t="s">
        <v>277</v>
      </c>
      <c r="J293" s="18" t="s">
        <v>277</v>
      </c>
      <c r="K293" s="18" t="s">
        <v>277</v>
      </c>
    </row>
    <row r="294">
      <c r="D294" s="18" t="s">
        <v>277</v>
      </c>
      <c r="E294" s="18" t="s">
        <v>277</v>
      </c>
      <c r="F294" s="18" t="s">
        <v>277</v>
      </c>
      <c r="I294" s="18" t="s">
        <v>277</v>
      </c>
      <c r="J294" s="18" t="s">
        <v>277</v>
      </c>
      <c r="K294" s="18" t="s">
        <v>277</v>
      </c>
    </row>
    <row r="295">
      <c r="D295" s="18" t="s">
        <v>277</v>
      </c>
      <c r="E295" s="18" t="s">
        <v>277</v>
      </c>
      <c r="F295" s="18" t="s">
        <v>277</v>
      </c>
      <c r="I295" s="18" t="s">
        <v>277</v>
      </c>
      <c r="J295" s="18" t="s">
        <v>277</v>
      </c>
      <c r="K295" s="18" t="s">
        <v>277</v>
      </c>
    </row>
    <row r="296">
      <c r="D296" s="18" t="s">
        <v>277</v>
      </c>
      <c r="E296" s="18" t="s">
        <v>277</v>
      </c>
      <c r="F296" s="18" t="s">
        <v>277</v>
      </c>
      <c r="I296" s="18" t="s">
        <v>277</v>
      </c>
      <c r="J296" s="18" t="s">
        <v>277</v>
      </c>
      <c r="K296" s="18" t="s">
        <v>277</v>
      </c>
    </row>
    <row r="297">
      <c r="D297" s="18" t="s">
        <v>277</v>
      </c>
      <c r="E297" s="18" t="s">
        <v>277</v>
      </c>
      <c r="F297" s="18" t="s">
        <v>277</v>
      </c>
      <c r="I297" s="18" t="s">
        <v>277</v>
      </c>
      <c r="J297" s="18" t="s">
        <v>277</v>
      </c>
      <c r="K297" s="18" t="s">
        <v>277</v>
      </c>
    </row>
    <row r="298">
      <c r="D298" s="18" t="s">
        <v>277</v>
      </c>
      <c r="E298" s="18" t="s">
        <v>277</v>
      </c>
      <c r="F298" s="18" t="s">
        <v>277</v>
      </c>
      <c r="I298" s="18" t="s">
        <v>277</v>
      </c>
      <c r="J298" s="18" t="s">
        <v>277</v>
      </c>
      <c r="K298" s="18" t="s">
        <v>277</v>
      </c>
    </row>
    <row r="299">
      <c r="D299" s="18" t="s">
        <v>277</v>
      </c>
      <c r="E299" s="18" t="s">
        <v>277</v>
      </c>
      <c r="F299" s="18" t="s">
        <v>277</v>
      </c>
      <c r="I299" s="18" t="s">
        <v>277</v>
      </c>
      <c r="J299" s="18" t="s">
        <v>277</v>
      </c>
      <c r="K299" s="18" t="s">
        <v>277</v>
      </c>
    </row>
    <row r="300">
      <c r="D300" s="18" t="s">
        <v>277</v>
      </c>
      <c r="E300" s="18" t="s">
        <v>277</v>
      </c>
      <c r="F300" s="18" t="s">
        <v>277</v>
      </c>
      <c r="I300" s="18" t="s">
        <v>277</v>
      </c>
      <c r="J300" s="18" t="s">
        <v>277</v>
      </c>
      <c r="K300" s="18" t="s">
        <v>277</v>
      </c>
    </row>
    <row r="301">
      <c r="D301" s="18" t="s">
        <v>277</v>
      </c>
      <c r="E301" s="18" t="s">
        <v>277</v>
      </c>
      <c r="F301" s="18" t="s">
        <v>277</v>
      </c>
      <c r="I301" s="18" t="s">
        <v>277</v>
      </c>
      <c r="J301" s="18" t="s">
        <v>277</v>
      </c>
      <c r="K301" s="18" t="s">
        <v>277</v>
      </c>
    </row>
    <row r="302">
      <c r="D302" s="18" t="s">
        <v>277</v>
      </c>
      <c r="E302" s="18" t="s">
        <v>277</v>
      </c>
      <c r="F302" s="18" t="s">
        <v>277</v>
      </c>
      <c r="I302" s="18" t="s">
        <v>277</v>
      </c>
      <c r="J302" s="18" t="s">
        <v>277</v>
      </c>
      <c r="K302" s="18" t="s">
        <v>277</v>
      </c>
    </row>
    <row r="303">
      <c r="D303" s="18" t="s">
        <v>277</v>
      </c>
      <c r="E303" s="18" t="s">
        <v>277</v>
      </c>
      <c r="F303" s="18" t="s">
        <v>277</v>
      </c>
      <c r="I303" s="18" t="s">
        <v>277</v>
      </c>
      <c r="J303" s="18" t="s">
        <v>277</v>
      </c>
      <c r="K303" s="18" t="s">
        <v>277</v>
      </c>
    </row>
    <row r="304">
      <c r="D304" s="18" t="s">
        <v>277</v>
      </c>
      <c r="E304" s="18" t="s">
        <v>277</v>
      </c>
      <c r="F304" s="18" t="s">
        <v>277</v>
      </c>
      <c r="I304" s="18" t="s">
        <v>277</v>
      </c>
      <c r="J304" s="18" t="s">
        <v>277</v>
      </c>
      <c r="K304" s="18" t="s">
        <v>277</v>
      </c>
    </row>
    <row r="305">
      <c r="D305" s="18" t="s">
        <v>277</v>
      </c>
      <c r="E305" s="18" t="s">
        <v>277</v>
      </c>
      <c r="F305" s="18" t="s">
        <v>277</v>
      </c>
      <c r="I305" s="18" t="s">
        <v>277</v>
      </c>
      <c r="J305" s="18" t="s">
        <v>277</v>
      </c>
      <c r="K305" s="18" t="s">
        <v>277</v>
      </c>
    </row>
    <row r="306">
      <c r="D306" s="18" t="s">
        <v>277</v>
      </c>
      <c r="E306" s="18" t="s">
        <v>277</v>
      </c>
      <c r="F306" s="18" t="s">
        <v>277</v>
      </c>
      <c r="I306" s="18" t="s">
        <v>277</v>
      </c>
      <c r="J306" s="18" t="s">
        <v>277</v>
      </c>
      <c r="K306" s="18" t="s">
        <v>277</v>
      </c>
    </row>
    <row r="307">
      <c r="D307" s="18" t="s">
        <v>277</v>
      </c>
      <c r="E307" s="18" t="s">
        <v>277</v>
      </c>
      <c r="F307" s="18" t="s">
        <v>277</v>
      </c>
      <c r="I307" s="18" t="s">
        <v>277</v>
      </c>
      <c r="J307" s="18" t="s">
        <v>277</v>
      </c>
      <c r="K307" s="18" t="s">
        <v>277</v>
      </c>
    </row>
    <row r="308">
      <c r="D308" s="18" t="s">
        <v>277</v>
      </c>
      <c r="E308" s="18" t="s">
        <v>277</v>
      </c>
      <c r="F308" s="18" t="s">
        <v>277</v>
      </c>
      <c r="I308" s="18" t="s">
        <v>277</v>
      </c>
      <c r="J308" s="18" t="s">
        <v>277</v>
      </c>
      <c r="K308" s="18" t="s">
        <v>277</v>
      </c>
    </row>
    <row r="309">
      <c r="D309" s="18" t="s">
        <v>277</v>
      </c>
      <c r="E309" s="18" t="s">
        <v>277</v>
      </c>
      <c r="F309" s="18" t="s">
        <v>277</v>
      </c>
      <c r="I309" s="18" t="s">
        <v>277</v>
      </c>
      <c r="J309" s="18" t="s">
        <v>277</v>
      </c>
      <c r="K309" s="18" t="s">
        <v>277</v>
      </c>
    </row>
    <row r="310">
      <c r="D310" s="18" t="s">
        <v>277</v>
      </c>
      <c r="E310" s="18" t="s">
        <v>277</v>
      </c>
      <c r="F310" s="18" t="s">
        <v>277</v>
      </c>
      <c r="I310" s="18" t="s">
        <v>277</v>
      </c>
      <c r="J310" s="18" t="s">
        <v>277</v>
      </c>
      <c r="K310" s="18" t="s">
        <v>277</v>
      </c>
    </row>
    <row r="311">
      <c r="D311" s="18" t="s">
        <v>277</v>
      </c>
      <c r="E311" s="18" t="s">
        <v>277</v>
      </c>
      <c r="F311" s="18" t="s">
        <v>277</v>
      </c>
      <c r="I311" s="18" t="s">
        <v>277</v>
      </c>
      <c r="J311" s="18" t="s">
        <v>277</v>
      </c>
      <c r="K311" s="18" t="s">
        <v>277</v>
      </c>
    </row>
    <row r="312">
      <c r="D312" s="18" t="s">
        <v>277</v>
      </c>
      <c r="E312" s="18" t="s">
        <v>277</v>
      </c>
      <c r="F312" s="18" t="s">
        <v>277</v>
      </c>
      <c r="I312" s="18" t="s">
        <v>277</v>
      </c>
      <c r="J312" s="18" t="s">
        <v>277</v>
      </c>
      <c r="K312" s="18" t="s">
        <v>277</v>
      </c>
    </row>
    <row r="313">
      <c r="D313" s="18" t="s">
        <v>277</v>
      </c>
      <c r="E313" s="18" t="s">
        <v>277</v>
      </c>
      <c r="F313" s="18" t="s">
        <v>277</v>
      </c>
      <c r="I313" s="18" t="s">
        <v>277</v>
      </c>
      <c r="J313" s="18" t="s">
        <v>277</v>
      </c>
      <c r="K313" s="18" t="s">
        <v>277</v>
      </c>
    </row>
    <row r="314">
      <c r="D314" s="18" t="s">
        <v>277</v>
      </c>
      <c r="E314" s="18" t="s">
        <v>277</v>
      </c>
      <c r="F314" s="18" t="s">
        <v>277</v>
      </c>
      <c r="I314" s="18" t="s">
        <v>277</v>
      </c>
      <c r="J314" s="18" t="s">
        <v>277</v>
      </c>
      <c r="K314" s="18" t="s">
        <v>277</v>
      </c>
    </row>
    <row r="315">
      <c r="D315" s="18" t="s">
        <v>277</v>
      </c>
      <c r="E315" s="18" t="s">
        <v>277</v>
      </c>
      <c r="F315" s="18" t="s">
        <v>277</v>
      </c>
      <c r="I315" s="18" t="s">
        <v>277</v>
      </c>
      <c r="J315" s="18" t="s">
        <v>277</v>
      </c>
      <c r="K315" s="18" t="s">
        <v>277</v>
      </c>
    </row>
    <row r="316">
      <c r="D316" s="18" t="s">
        <v>277</v>
      </c>
      <c r="E316" s="18" t="s">
        <v>277</v>
      </c>
      <c r="F316" s="18" t="s">
        <v>277</v>
      </c>
      <c r="I316" s="18" t="s">
        <v>277</v>
      </c>
      <c r="J316" s="18" t="s">
        <v>277</v>
      </c>
      <c r="K316" s="18" t="s">
        <v>277</v>
      </c>
    </row>
    <row r="317">
      <c r="D317" s="18" t="s">
        <v>277</v>
      </c>
      <c r="E317" s="18" t="s">
        <v>277</v>
      </c>
      <c r="F317" s="18" t="s">
        <v>277</v>
      </c>
      <c r="I317" s="18" t="s">
        <v>277</v>
      </c>
      <c r="J317" s="18" t="s">
        <v>277</v>
      </c>
      <c r="K317" s="18" t="s">
        <v>277</v>
      </c>
    </row>
    <row r="318">
      <c r="D318" s="18" t="s">
        <v>277</v>
      </c>
      <c r="E318" s="18" t="s">
        <v>277</v>
      </c>
      <c r="F318" s="18" t="s">
        <v>277</v>
      </c>
      <c r="I318" s="18" t="s">
        <v>277</v>
      </c>
      <c r="J318" s="18" t="s">
        <v>277</v>
      </c>
      <c r="K318" s="18" t="s">
        <v>277</v>
      </c>
    </row>
    <row r="319">
      <c r="D319" s="18" t="s">
        <v>277</v>
      </c>
      <c r="E319" s="18" t="s">
        <v>277</v>
      </c>
      <c r="F319" s="18" t="s">
        <v>277</v>
      </c>
      <c r="I319" s="18" t="s">
        <v>277</v>
      </c>
      <c r="J319" s="18" t="s">
        <v>277</v>
      </c>
      <c r="K319" s="18" t="s">
        <v>277</v>
      </c>
    </row>
    <row r="320">
      <c r="D320" s="18" t="s">
        <v>277</v>
      </c>
      <c r="E320" s="18" t="s">
        <v>277</v>
      </c>
      <c r="F320" s="18" t="s">
        <v>277</v>
      </c>
      <c r="I320" s="18" t="s">
        <v>277</v>
      </c>
      <c r="J320" s="18" t="s">
        <v>277</v>
      </c>
      <c r="K320" s="18" t="s">
        <v>277</v>
      </c>
    </row>
    <row r="321">
      <c r="D321" s="18" t="s">
        <v>277</v>
      </c>
      <c r="E321" s="18" t="s">
        <v>277</v>
      </c>
      <c r="F321" s="18" t="s">
        <v>277</v>
      </c>
      <c r="I321" s="18" t="s">
        <v>277</v>
      </c>
      <c r="J321" s="18" t="s">
        <v>277</v>
      </c>
      <c r="K321" s="18" t="s">
        <v>277</v>
      </c>
    </row>
    <row r="322">
      <c r="D322" s="18" t="s">
        <v>277</v>
      </c>
      <c r="E322" s="18" t="s">
        <v>277</v>
      </c>
      <c r="F322" s="18" t="s">
        <v>277</v>
      </c>
      <c r="I322" s="18" t="s">
        <v>277</v>
      </c>
      <c r="J322" s="18" t="s">
        <v>277</v>
      </c>
      <c r="K322" s="18" t="s">
        <v>277</v>
      </c>
    </row>
    <row r="323">
      <c r="D323" s="18" t="s">
        <v>277</v>
      </c>
      <c r="E323" s="18" t="s">
        <v>277</v>
      </c>
      <c r="F323" s="18" t="s">
        <v>277</v>
      </c>
      <c r="I323" s="18" t="s">
        <v>277</v>
      </c>
      <c r="J323" s="18" t="s">
        <v>277</v>
      </c>
      <c r="K323" s="18" t="s">
        <v>277</v>
      </c>
    </row>
    <row r="324">
      <c r="D324" s="18" t="s">
        <v>277</v>
      </c>
      <c r="E324" s="18" t="s">
        <v>277</v>
      </c>
      <c r="F324" s="18" t="s">
        <v>277</v>
      </c>
      <c r="I324" s="18" t="s">
        <v>277</v>
      </c>
      <c r="J324" s="18" t="s">
        <v>277</v>
      </c>
      <c r="K324" s="18" t="s">
        <v>277</v>
      </c>
    </row>
    <row r="325">
      <c r="D325" s="18" t="s">
        <v>277</v>
      </c>
      <c r="E325" s="18" t="s">
        <v>277</v>
      </c>
      <c r="F325" s="18" t="s">
        <v>277</v>
      </c>
      <c r="I325" s="18" t="s">
        <v>277</v>
      </c>
      <c r="J325" s="18" t="s">
        <v>277</v>
      </c>
      <c r="K325" s="18" t="s">
        <v>277</v>
      </c>
    </row>
    <row r="326">
      <c r="D326" s="18" t="s">
        <v>277</v>
      </c>
      <c r="E326" s="18" t="s">
        <v>277</v>
      </c>
      <c r="F326" s="18" t="s">
        <v>277</v>
      </c>
      <c r="I326" s="18" t="s">
        <v>277</v>
      </c>
      <c r="J326" s="18" t="s">
        <v>277</v>
      </c>
      <c r="K326" s="18" t="s">
        <v>277</v>
      </c>
    </row>
    <row r="327">
      <c r="D327" s="18" t="s">
        <v>277</v>
      </c>
      <c r="E327" s="18" t="s">
        <v>277</v>
      </c>
      <c r="F327" s="18" t="s">
        <v>277</v>
      </c>
      <c r="I327" s="18" t="s">
        <v>277</v>
      </c>
      <c r="J327" s="18" t="s">
        <v>277</v>
      </c>
      <c r="K327" s="18" t="s">
        <v>277</v>
      </c>
    </row>
    <row r="328">
      <c r="D328" s="18" t="s">
        <v>277</v>
      </c>
      <c r="E328" s="18" t="s">
        <v>277</v>
      </c>
      <c r="F328" s="18" t="s">
        <v>277</v>
      </c>
      <c r="I328" s="18" t="s">
        <v>277</v>
      </c>
      <c r="J328" s="18" t="s">
        <v>277</v>
      </c>
      <c r="K328" s="18" t="s">
        <v>277</v>
      </c>
    </row>
    <row r="329">
      <c r="D329" s="18" t="s">
        <v>277</v>
      </c>
      <c r="E329" s="18" t="s">
        <v>277</v>
      </c>
      <c r="F329" s="18" t="s">
        <v>277</v>
      </c>
      <c r="I329" s="18" t="s">
        <v>277</v>
      </c>
      <c r="J329" s="18" t="s">
        <v>277</v>
      </c>
      <c r="K329" s="18" t="s">
        <v>277</v>
      </c>
    </row>
    <row r="330">
      <c r="D330" s="18" t="s">
        <v>277</v>
      </c>
      <c r="E330" s="18" t="s">
        <v>277</v>
      </c>
      <c r="F330" s="18" t="s">
        <v>277</v>
      </c>
      <c r="I330" s="18" t="s">
        <v>277</v>
      </c>
      <c r="J330" s="18" t="s">
        <v>277</v>
      </c>
      <c r="K330" s="18" t="s">
        <v>277</v>
      </c>
    </row>
    <row r="331">
      <c r="D331" s="18" t="s">
        <v>277</v>
      </c>
      <c r="E331" s="18" t="s">
        <v>277</v>
      </c>
      <c r="F331" s="18" t="s">
        <v>277</v>
      </c>
      <c r="I331" s="18" t="s">
        <v>277</v>
      </c>
      <c r="J331" s="18" t="s">
        <v>277</v>
      </c>
      <c r="K331" s="18" t="s">
        <v>277</v>
      </c>
    </row>
    <row r="332">
      <c r="D332" s="18" t="s">
        <v>277</v>
      </c>
      <c r="E332" s="18" t="s">
        <v>277</v>
      </c>
      <c r="F332" s="18" t="s">
        <v>277</v>
      </c>
      <c r="I332" s="18" t="s">
        <v>277</v>
      </c>
      <c r="J332" s="18" t="s">
        <v>277</v>
      </c>
      <c r="K332" s="18" t="s">
        <v>277</v>
      </c>
    </row>
    <row r="333">
      <c r="D333" s="18" t="s">
        <v>277</v>
      </c>
      <c r="E333" s="18" t="s">
        <v>277</v>
      </c>
      <c r="F333" s="18" t="s">
        <v>277</v>
      </c>
      <c r="I333" s="18" t="s">
        <v>277</v>
      </c>
      <c r="J333" s="18" t="s">
        <v>277</v>
      </c>
      <c r="K333" s="18" t="s">
        <v>277</v>
      </c>
    </row>
    <row r="334">
      <c r="D334" s="18" t="s">
        <v>277</v>
      </c>
      <c r="E334" s="18" t="s">
        <v>277</v>
      </c>
      <c r="F334" s="18" t="s">
        <v>277</v>
      </c>
      <c r="I334" s="18" t="s">
        <v>277</v>
      </c>
      <c r="J334" s="18" t="s">
        <v>277</v>
      </c>
      <c r="K334" s="18" t="s">
        <v>277</v>
      </c>
    </row>
    <row r="335">
      <c r="D335" s="18" t="s">
        <v>277</v>
      </c>
      <c r="E335" s="18" t="s">
        <v>277</v>
      </c>
      <c r="F335" s="18" t="s">
        <v>277</v>
      </c>
      <c r="I335" s="18" t="s">
        <v>277</v>
      </c>
      <c r="J335" s="18" t="s">
        <v>277</v>
      </c>
      <c r="K335" s="18" t="s">
        <v>277</v>
      </c>
    </row>
    <row r="336">
      <c r="D336" s="18" t="s">
        <v>277</v>
      </c>
      <c r="E336" s="18" t="s">
        <v>277</v>
      </c>
      <c r="F336" s="18" t="s">
        <v>277</v>
      </c>
      <c r="I336" s="18" t="s">
        <v>277</v>
      </c>
      <c r="J336" s="18" t="s">
        <v>277</v>
      </c>
      <c r="K336" s="18" t="s">
        <v>277</v>
      </c>
    </row>
    <row r="337">
      <c r="D337" s="18" t="s">
        <v>277</v>
      </c>
      <c r="E337" s="18" t="s">
        <v>277</v>
      </c>
      <c r="F337" s="18" t="s">
        <v>277</v>
      </c>
      <c r="I337" s="18" t="s">
        <v>277</v>
      </c>
      <c r="J337" s="18" t="s">
        <v>277</v>
      </c>
      <c r="K337" s="18" t="s">
        <v>277</v>
      </c>
    </row>
    <row r="338">
      <c r="D338" s="18" t="s">
        <v>277</v>
      </c>
      <c r="E338" s="18" t="s">
        <v>277</v>
      </c>
      <c r="F338" s="18" t="s">
        <v>277</v>
      </c>
      <c r="I338" s="18" t="s">
        <v>277</v>
      </c>
      <c r="J338" s="18" t="s">
        <v>277</v>
      </c>
      <c r="K338" s="18" t="s">
        <v>277</v>
      </c>
    </row>
    <row r="339">
      <c r="D339" s="18" t="s">
        <v>277</v>
      </c>
      <c r="E339" s="18" t="s">
        <v>277</v>
      </c>
      <c r="F339" s="18" t="s">
        <v>277</v>
      </c>
      <c r="I339" s="18" t="s">
        <v>277</v>
      </c>
      <c r="J339" s="18" t="s">
        <v>277</v>
      </c>
      <c r="K339" s="18" t="s">
        <v>277</v>
      </c>
    </row>
    <row r="340">
      <c r="D340" s="18" t="s">
        <v>277</v>
      </c>
      <c r="E340" s="18" t="s">
        <v>277</v>
      </c>
      <c r="F340" s="18" t="s">
        <v>277</v>
      </c>
      <c r="I340" s="18" t="s">
        <v>277</v>
      </c>
      <c r="J340" s="18" t="s">
        <v>277</v>
      </c>
      <c r="K340" s="18" t="s">
        <v>277</v>
      </c>
    </row>
    <row r="341">
      <c r="D341" s="18" t="s">
        <v>277</v>
      </c>
      <c r="E341" s="18" t="s">
        <v>277</v>
      </c>
      <c r="F341" s="18" t="s">
        <v>277</v>
      </c>
      <c r="I341" s="18" t="s">
        <v>277</v>
      </c>
      <c r="J341" s="18" t="s">
        <v>277</v>
      </c>
      <c r="K341" s="18" t="s">
        <v>277</v>
      </c>
    </row>
    <row r="342">
      <c r="D342" s="18" t="s">
        <v>277</v>
      </c>
      <c r="E342" s="18" t="s">
        <v>277</v>
      </c>
      <c r="F342" s="18" t="s">
        <v>277</v>
      </c>
      <c r="I342" s="18" t="s">
        <v>277</v>
      </c>
      <c r="J342" s="18" t="s">
        <v>277</v>
      </c>
      <c r="K342" s="18" t="s">
        <v>277</v>
      </c>
    </row>
    <row r="343">
      <c r="D343" s="18" t="s">
        <v>277</v>
      </c>
      <c r="E343" s="18" t="s">
        <v>277</v>
      </c>
      <c r="F343" s="18" t="s">
        <v>277</v>
      </c>
      <c r="I343" s="18" t="s">
        <v>277</v>
      </c>
      <c r="J343" s="18" t="s">
        <v>277</v>
      </c>
      <c r="K343" s="18" t="s">
        <v>277</v>
      </c>
    </row>
    <row r="344">
      <c r="D344" s="18" t="s">
        <v>277</v>
      </c>
      <c r="E344" s="18" t="s">
        <v>277</v>
      </c>
      <c r="F344" s="18" t="s">
        <v>277</v>
      </c>
      <c r="I344" s="18" t="s">
        <v>277</v>
      </c>
      <c r="J344" s="18" t="s">
        <v>277</v>
      </c>
      <c r="K344" s="18" t="s">
        <v>277</v>
      </c>
    </row>
    <row r="345">
      <c r="D345" s="18" t="s">
        <v>277</v>
      </c>
      <c r="E345" s="18" t="s">
        <v>277</v>
      </c>
      <c r="F345" s="18" t="s">
        <v>277</v>
      </c>
      <c r="I345" s="18" t="s">
        <v>277</v>
      </c>
      <c r="J345" s="18" t="s">
        <v>277</v>
      </c>
      <c r="K345" s="18" t="s">
        <v>277</v>
      </c>
    </row>
    <row r="346">
      <c r="D346" s="18" t="s">
        <v>277</v>
      </c>
      <c r="E346" s="18" t="s">
        <v>277</v>
      </c>
      <c r="F346" s="18" t="s">
        <v>277</v>
      </c>
      <c r="I346" s="18" t="s">
        <v>277</v>
      </c>
      <c r="J346" s="18" t="s">
        <v>277</v>
      </c>
      <c r="K346" s="18" t="s">
        <v>277</v>
      </c>
    </row>
    <row r="347">
      <c r="D347" s="18" t="s">
        <v>277</v>
      </c>
      <c r="E347" s="18" t="s">
        <v>277</v>
      </c>
      <c r="F347" s="18" t="s">
        <v>277</v>
      </c>
      <c r="I347" s="18" t="s">
        <v>277</v>
      </c>
      <c r="J347" s="18" t="s">
        <v>277</v>
      </c>
      <c r="K347" s="18" t="s">
        <v>277</v>
      </c>
    </row>
    <row r="348">
      <c r="D348" s="18" t="s">
        <v>277</v>
      </c>
      <c r="E348" s="18" t="s">
        <v>277</v>
      </c>
      <c r="F348" s="18" t="s">
        <v>277</v>
      </c>
      <c r="I348" s="18" t="s">
        <v>277</v>
      </c>
      <c r="J348" s="18" t="s">
        <v>277</v>
      </c>
      <c r="K348" s="18" t="s">
        <v>277</v>
      </c>
    </row>
    <row r="349">
      <c r="D349" s="18" t="s">
        <v>277</v>
      </c>
      <c r="E349" s="18" t="s">
        <v>277</v>
      </c>
      <c r="F349" s="18" t="s">
        <v>277</v>
      </c>
      <c r="I349" s="18" t="s">
        <v>277</v>
      </c>
      <c r="J349" s="18" t="s">
        <v>277</v>
      </c>
      <c r="K349" s="18" t="s">
        <v>277</v>
      </c>
    </row>
    <row r="350">
      <c r="D350" s="18" t="s">
        <v>277</v>
      </c>
      <c r="E350" s="18" t="s">
        <v>277</v>
      </c>
      <c r="F350" s="18" t="s">
        <v>277</v>
      </c>
      <c r="I350" s="18" t="s">
        <v>277</v>
      </c>
      <c r="J350" s="18" t="s">
        <v>277</v>
      </c>
      <c r="K350" s="18" t="s">
        <v>277</v>
      </c>
    </row>
    <row r="351">
      <c r="D351" s="18" t="s">
        <v>277</v>
      </c>
      <c r="E351" s="18" t="s">
        <v>277</v>
      </c>
      <c r="F351" s="18" t="s">
        <v>277</v>
      </c>
      <c r="I351" s="18" t="s">
        <v>277</v>
      </c>
      <c r="J351" s="18" t="s">
        <v>277</v>
      </c>
      <c r="K351" s="18" t="s">
        <v>277</v>
      </c>
    </row>
    <row r="352">
      <c r="D352" s="18" t="s">
        <v>277</v>
      </c>
      <c r="E352" s="18" t="s">
        <v>277</v>
      </c>
      <c r="F352" s="18" t="s">
        <v>277</v>
      </c>
      <c r="I352" s="18" t="s">
        <v>277</v>
      </c>
      <c r="J352" s="18" t="s">
        <v>277</v>
      </c>
      <c r="K352" s="18" t="s">
        <v>277</v>
      </c>
    </row>
    <row r="353">
      <c r="D353" s="18" t="s">
        <v>277</v>
      </c>
      <c r="E353" s="18" t="s">
        <v>277</v>
      </c>
      <c r="F353" s="18" t="s">
        <v>277</v>
      </c>
      <c r="I353" s="18" t="s">
        <v>277</v>
      </c>
      <c r="J353" s="18" t="s">
        <v>277</v>
      </c>
      <c r="K353" s="18" t="s">
        <v>277</v>
      </c>
    </row>
    <row r="354">
      <c r="D354" s="18" t="s">
        <v>277</v>
      </c>
      <c r="E354" s="18" t="s">
        <v>277</v>
      </c>
      <c r="F354" s="18" t="s">
        <v>277</v>
      </c>
      <c r="I354" s="18" t="s">
        <v>277</v>
      </c>
      <c r="J354" s="18" t="s">
        <v>277</v>
      </c>
      <c r="K354" s="18" t="s">
        <v>277</v>
      </c>
    </row>
    <row r="355">
      <c r="D355" s="18" t="s">
        <v>277</v>
      </c>
      <c r="E355" s="18" t="s">
        <v>277</v>
      </c>
      <c r="F355" s="18" t="s">
        <v>277</v>
      </c>
      <c r="I355" s="18" t="s">
        <v>277</v>
      </c>
      <c r="J355" s="18" t="s">
        <v>277</v>
      </c>
      <c r="K355" s="18" t="s">
        <v>277</v>
      </c>
    </row>
    <row r="356">
      <c r="D356" s="18" t="s">
        <v>277</v>
      </c>
      <c r="E356" s="18" t="s">
        <v>277</v>
      </c>
      <c r="F356" s="18" t="s">
        <v>277</v>
      </c>
      <c r="I356" s="18" t="s">
        <v>277</v>
      </c>
      <c r="J356" s="18" t="s">
        <v>277</v>
      </c>
      <c r="K356" s="18" t="s">
        <v>277</v>
      </c>
    </row>
    <row r="357">
      <c r="D357" s="18" t="s">
        <v>277</v>
      </c>
      <c r="E357" s="18" t="s">
        <v>277</v>
      </c>
      <c r="F357" s="18" t="s">
        <v>277</v>
      </c>
      <c r="I357" s="18" t="s">
        <v>277</v>
      </c>
      <c r="J357" s="18" t="s">
        <v>277</v>
      </c>
      <c r="K357" s="18" t="s">
        <v>277</v>
      </c>
    </row>
    <row r="358">
      <c r="D358" s="18" t="s">
        <v>277</v>
      </c>
      <c r="E358" s="18" t="s">
        <v>277</v>
      </c>
      <c r="F358" s="18" t="s">
        <v>277</v>
      </c>
      <c r="I358" s="18" t="s">
        <v>277</v>
      </c>
      <c r="J358" s="18" t="s">
        <v>277</v>
      </c>
      <c r="K358" s="18" t="s">
        <v>277</v>
      </c>
    </row>
    <row r="359">
      <c r="D359" s="18" t="s">
        <v>277</v>
      </c>
      <c r="E359" s="18" t="s">
        <v>277</v>
      </c>
      <c r="F359" s="18" t="s">
        <v>277</v>
      </c>
      <c r="I359" s="18" t="s">
        <v>277</v>
      </c>
      <c r="J359" s="18" t="s">
        <v>277</v>
      </c>
      <c r="K359" s="18" t="s">
        <v>277</v>
      </c>
    </row>
    <row r="360">
      <c r="D360" s="18" t="s">
        <v>277</v>
      </c>
      <c r="E360" s="18" t="s">
        <v>277</v>
      </c>
      <c r="F360" s="18" t="s">
        <v>277</v>
      </c>
      <c r="I360" s="18" t="s">
        <v>277</v>
      </c>
      <c r="J360" s="18" t="s">
        <v>277</v>
      </c>
      <c r="K360" s="18" t="s">
        <v>277</v>
      </c>
    </row>
    <row r="361">
      <c r="D361" s="18" t="s">
        <v>277</v>
      </c>
      <c r="E361" s="18" t="s">
        <v>277</v>
      </c>
      <c r="F361" s="18" t="s">
        <v>277</v>
      </c>
      <c r="I361" s="18" t="s">
        <v>277</v>
      </c>
      <c r="J361" s="18" t="s">
        <v>277</v>
      </c>
      <c r="K361" s="18" t="s">
        <v>277</v>
      </c>
    </row>
    <row r="362">
      <c r="D362" s="18" t="s">
        <v>277</v>
      </c>
      <c r="E362" s="18" t="s">
        <v>277</v>
      </c>
      <c r="F362" s="18" t="s">
        <v>277</v>
      </c>
      <c r="I362" s="18" t="s">
        <v>277</v>
      </c>
      <c r="J362" s="18" t="s">
        <v>277</v>
      </c>
      <c r="K362" s="18" t="s">
        <v>277</v>
      </c>
    </row>
    <row r="363">
      <c r="D363" s="18" t="s">
        <v>277</v>
      </c>
      <c r="E363" s="18" t="s">
        <v>277</v>
      </c>
      <c r="F363" s="18" t="s">
        <v>277</v>
      </c>
      <c r="I363" s="18" t="s">
        <v>277</v>
      </c>
      <c r="J363" s="18" t="s">
        <v>277</v>
      </c>
      <c r="K363" s="18" t="s">
        <v>277</v>
      </c>
    </row>
    <row r="364">
      <c r="D364" s="18" t="s">
        <v>277</v>
      </c>
      <c r="E364" s="18" t="s">
        <v>277</v>
      </c>
      <c r="F364" s="18" t="s">
        <v>277</v>
      </c>
      <c r="I364" s="18" t="s">
        <v>277</v>
      </c>
      <c r="J364" s="18" t="s">
        <v>277</v>
      </c>
      <c r="K364" s="18" t="s">
        <v>277</v>
      </c>
    </row>
    <row r="365">
      <c r="D365" s="18" t="s">
        <v>277</v>
      </c>
      <c r="E365" s="18" t="s">
        <v>277</v>
      </c>
      <c r="F365" s="18" t="s">
        <v>277</v>
      </c>
      <c r="I365" s="18" t="s">
        <v>277</v>
      </c>
      <c r="J365" s="18" t="s">
        <v>277</v>
      </c>
      <c r="K365" s="18" t="s">
        <v>277</v>
      </c>
    </row>
    <row r="366">
      <c r="D366" s="18" t="s">
        <v>277</v>
      </c>
      <c r="E366" s="18" t="s">
        <v>277</v>
      </c>
      <c r="F366" s="18" t="s">
        <v>277</v>
      </c>
      <c r="I366" s="18" t="s">
        <v>277</v>
      </c>
      <c r="J366" s="18" t="s">
        <v>277</v>
      </c>
      <c r="K366" s="18" t="s">
        <v>277</v>
      </c>
    </row>
    <row r="367">
      <c r="D367" s="18" t="s">
        <v>277</v>
      </c>
      <c r="E367" s="18" t="s">
        <v>277</v>
      </c>
      <c r="F367" s="18" t="s">
        <v>277</v>
      </c>
      <c r="I367" s="18" t="s">
        <v>277</v>
      </c>
      <c r="J367" s="18" t="s">
        <v>277</v>
      </c>
      <c r="K367" s="18" t="s">
        <v>277</v>
      </c>
    </row>
    <row r="368">
      <c r="D368" s="18" t="s">
        <v>277</v>
      </c>
      <c r="E368" s="18" t="s">
        <v>277</v>
      </c>
      <c r="F368" s="18" t="s">
        <v>277</v>
      </c>
      <c r="I368" s="18" t="s">
        <v>277</v>
      </c>
      <c r="J368" s="18" t="s">
        <v>277</v>
      </c>
      <c r="K368" s="18" t="s">
        <v>277</v>
      </c>
    </row>
    <row r="369">
      <c r="D369" s="18" t="s">
        <v>277</v>
      </c>
      <c r="E369" s="18" t="s">
        <v>277</v>
      </c>
      <c r="F369" s="18" t="s">
        <v>277</v>
      </c>
      <c r="I369" s="18" t="s">
        <v>277</v>
      </c>
      <c r="J369" s="18" t="s">
        <v>277</v>
      </c>
      <c r="K369" s="18" t="s">
        <v>277</v>
      </c>
    </row>
    <row r="370">
      <c r="D370" s="18" t="s">
        <v>277</v>
      </c>
      <c r="E370" s="18" t="s">
        <v>277</v>
      </c>
      <c r="F370" s="18" t="s">
        <v>277</v>
      </c>
      <c r="I370" s="18" t="s">
        <v>277</v>
      </c>
      <c r="J370" s="18" t="s">
        <v>277</v>
      </c>
      <c r="K370" s="18" t="s">
        <v>277</v>
      </c>
    </row>
    <row r="371">
      <c r="D371" s="18" t="s">
        <v>277</v>
      </c>
      <c r="E371" s="18" t="s">
        <v>277</v>
      </c>
      <c r="F371" s="18" t="s">
        <v>277</v>
      </c>
      <c r="I371" s="18" t="s">
        <v>277</v>
      </c>
      <c r="J371" s="18" t="s">
        <v>277</v>
      </c>
      <c r="K371" s="18" t="s">
        <v>277</v>
      </c>
    </row>
    <row r="372">
      <c r="D372" s="18" t="s">
        <v>277</v>
      </c>
      <c r="E372" s="18" t="s">
        <v>277</v>
      </c>
      <c r="F372" s="18" t="s">
        <v>277</v>
      </c>
      <c r="I372" s="18" t="s">
        <v>277</v>
      </c>
      <c r="J372" s="18" t="s">
        <v>277</v>
      </c>
      <c r="K372" s="18" t="s">
        <v>277</v>
      </c>
    </row>
    <row r="373">
      <c r="D373" s="18" t="s">
        <v>277</v>
      </c>
      <c r="E373" s="18" t="s">
        <v>277</v>
      </c>
      <c r="F373" s="18" t="s">
        <v>277</v>
      </c>
      <c r="I373" s="18" t="s">
        <v>277</v>
      </c>
      <c r="J373" s="18" t="s">
        <v>277</v>
      </c>
      <c r="K373" s="18" t="s">
        <v>277</v>
      </c>
    </row>
    <row r="374">
      <c r="D374" s="18" t="s">
        <v>277</v>
      </c>
      <c r="E374" s="18" t="s">
        <v>277</v>
      </c>
      <c r="F374" s="18" t="s">
        <v>277</v>
      </c>
      <c r="I374" s="18" t="s">
        <v>277</v>
      </c>
      <c r="J374" s="18" t="s">
        <v>277</v>
      </c>
      <c r="K374" s="18" t="s">
        <v>277</v>
      </c>
    </row>
    <row r="375">
      <c r="D375" s="18" t="s">
        <v>277</v>
      </c>
      <c r="E375" s="18" t="s">
        <v>277</v>
      </c>
      <c r="F375" s="18" t="s">
        <v>277</v>
      </c>
      <c r="I375" s="18" t="s">
        <v>277</v>
      </c>
      <c r="J375" s="18" t="s">
        <v>277</v>
      </c>
      <c r="K375" s="18" t="s">
        <v>277</v>
      </c>
    </row>
    <row r="376">
      <c r="D376" s="18" t="s">
        <v>277</v>
      </c>
      <c r="E376" s="18" t="s">
        <v>277</v>
      </c>
      <c r="F376" s="18" t="s">
        <v>277</v>
      </c>
      <c r="I376" s="18" t="s">
        <v>277</v>
      </c>
      <c r="J376" s="18" t="s">
        <v>277</v>
      </c>
      <c r="K376" s="18" t="s">
        <v>277</v>
      </c>
    </row>
    <row r="377">
      <c r="D377" s="18" t="s">
        <v>277</v>
      </c>
      <c r="E377" s="18" t="s">
        <v>277</v>
      </c>
      <c r="F377" s="18" t="s">
        <v>277</v>
      </c>
      <c r="I377" s="18" t="s">
        <v>277</v>
      </c>
      <c r="J377" s="18" t="s">
        <v>277</v>
      </c>
      <c r="K377" s="18" t="s">
        <v>277</v>
      </c>
    </row>
    <row r="378">
      <c r="D378" s="18" t="s">
        <v>277</v>
      </c>
      <c r="E378" s="18" t="s">
        <v>277</v>
      </c>
      <c r="F378" s="18" t="s">
        <v>277</v>
      </c>
      <c r="I378" s="18" t="s">
        <v>277</v>
      </c>
      <c r="J378" s="18" t="s">
        <v>277</v>
      </c>
      <c r="K378" s="18" t="s">
        <v>277</v>
      </c>
    </row>
    <row r="379">
      <c r="D379" s="18" t="s">
        <v>277</v>
      </c>
      <c r="E379" s="18" t="s">
        <v>277</v>
      </c>
      <c r="F379" s="18" t="s">
        <v>277</v>
      </c>
      <c r="I379" s="18" t="s">
        <v>277</v>
      </c>
      <c r="J379" s="18" t="s">
        <v>277</v>
      </c>
      <c r="K379" s="18" t="s">
        <v>277</v>
      </c>
    </row>
    <row r="380">
      <c r="D380" s="18" t="s">
        <v>277</v>
      </c>
      <c r="E380" s="18" t="s">
        <v>277</v>
      </c>
      <c r="F380" s="18" t="s">
        <v>277</v>
      </c>
      <c r="I380" s="18" t="s">
        <v>277</v>
      </c>
      <c r="J380" s="18" t="s">
        <v>277</v>
      </c>
      <c r="K380" s="18" t="s">
        <v>277</v>
      </c>
    </row>
    <row r="381">
      <c r="D381" s="18" t="s">
        <v>277</v>
      </c>
      <c r="E381" s="18" t="s">
        <v>277</v>
      </c>
      <c r="F381" s="18" t="s">
        <v>277</v>
      </c>
      <c r="I381" s="18" t="s">
        <v>277</v>
      </c>
      <c r="J381" s="18" t="s">
        <v>277</v>
      </c>
      <c r="K381" s="18" t="s">
        <v>277</v>
      </c>
    </row>
    <row r="382">
      <c r="D382" s="18" t="s">
        <v>277</v>
      </c>
      <c r="E382" s="18" t="s">
        <v>277</v>
      </c>
      <c r="F382" s="18" t="s">
        <v>277</v>
      </c>
      <c r="I382" s="18" t="s">
        <v>277</v>
      </c>
      <c r="J382" s="18" t="s">
        <v>277</v>
      </c>
      <c r="K382" s="18" t="s">
        <v>277</v>
      </c>
    </row>
    <row r="383">
      <c r="D383" s="18" t="s">
        <v>277</v>
      </c>
      <c r="E383" s="18" t="s">
        <v>277</v>
      </c>
      <c r="F383" s="18" t="s">
        <v>277</v>
      </c>
      <c r="I383" s="18" t="s">
        <v>277</v>
      </c>
      <c r="J383" s="18" t="s">
        <v>277</v>
      </c>
      <c r="K383" s="18" t="s">
        <v>277</v>
      </c>
    </row>
    <row r="384">
      <c r="D384" s="18" t="s">
        <v>277</v>
      </c>
      <c r="E384" s="18" t="s">
        <v>277</v>
      </c>
      <c r="F384" s="18" t="s">
        <v>277</v>
      </c>
      <c r="I384" s="18" t="s">
        <v>277</v>
      </c>
      <c r="J384" s="18" t="s">
        <v>277</v>
      </c>
      <c r="K384" s="18" t="s">
        <v>277</v>
      </c>
    </row>
    <row r="385">
      <c r="D385" s="18" t="s">
        <v>277</v>
      </c>
      <c r="E385" s="18" t="s">
        <v>277</v>
      </c>
      <c r="F385" s="18" t="s">
        <v>277</v>
      </c>
      <c r="I385" s="18" t="s">
        <v>277</v>
      </c>
      <c r="J385" s="18" t="s">
        <v>277</v>
      </c>
      <c r="K385" s="18" t="s">
        <v>277</v>
      </c>
    </row>
    <row r="386">
      <c r="D386" s="18" t="s">
        <v>277</v>
      </c>
      <c r="E386" s="18" t="s">
        <v>277</v>
      </c>
      <c r="F386" s="18" t="s">
        <v>277</v>
      </c>
      <c r="I386" s="18" t="s">
        <v>277</v>
      </c>
      <c r="J386" s="18" t="s">
        <v>277</v>
      </c>
      <c r="K386" s="18" t="s">
        <v>277</v>
      </c>
    </row>
    <row r="387">
      <c r="D387" s="18" t="s">
        <v>277</v>
      </c>
      <c r="E387" s="18" t="s">
        <v>277</v>
      </c>
      <c r="F387" s="18" t="s">
        <v>277</v>
      </c>
      <c r="I387" s="18" t="s">
        <v>277</v>
      </c>
      <c r="J387" s="18" t="s">
        <v>277</v>
      </c>
      <c r="K387" s="18" t="s">
        <v>277</v>
      </c>
    </row>
    <row r="388">
      <c r="D388" s="18" t="s">
        <v>277</v>
      </c>
      <c r="E388" s="18" t="s">
        <v>277</v>
      </c>
      <c r="F388" s="18" t="s">
        <v>277</v>
      </c>
      <c r="I388" s="18" t="s">
        <v>277</v>
      </c>
      <c r="J388" s="18" t="s">
        <v>277</v>
      </c>
      <c r="K388" s="18" t="s">
        <v>277</v>
      </c>
    </row>
    <row r="389">
      <c r="D389" s="18" t="s">
        <v>277</v>
      </c>
      <c r="E389" s="18" t="s">
        <v>277</v>
      </c>
      <c r="F389" s="18" t="s">
        <v>277</v>
      </c>
      <c r="I389" s="18" t="s">
        <v>277</v>
      </c>
      <c r="J389" s="18" t="s">
        <v>277</v>
      </c>
      <c r="K389" s="18" t="s">
        <v>277</v>
      </c>
    </row>
    <row r="390">
      <c r="D390" s="18" t="s">
        <v>277</v>
      </c>
      <c r="E390" s="18" t="s">
        <v>277</v>
      </c>
      <c r="F390" s="18" t="s">
        <v>277</v>
      </c>
      <c r="I390" s="18" t="s">
        <v>277</v>
      </c>
      <c r="J390" s="18" t="s">
        <v>277</v>
      </c>
      <c r="K390" s="18" t="s">
        <v>277</v>
      </c>
    </row>
    <row r="391">
      <c r="D391" s="18" t="s">
        <v>277</v>
      </c>
      <c r="E391" s="18" t="s">
        <v>277</v>
      </c>
      <c r="F391" s="18" t="s">
        <v>277</v>
      </c>
      <c r="I391" s="18" t="s">
        <v>277</v>
      </c>
      <c r="J391" s="18" t="s">
        <v>277</v>
      </c>
      <c r="K391" s="18" t="s">
        <v>277</v>
      </c>
    </row>
    <row r="392">
      <c r="D392" s="18" t="s">
        <v>277</v>
      </c>
      <c r="E392" s="18" t="s">
        <v>277</v>
      </c>
      <c r="F392" s="18" t="s">
        <v>277</v>
      </c>
      <c r="I392" s="18" t="s">
        <v>277</v>
      </c>
      <c r="J392" s="18" t="s">
        <v>277</v>
      </c>
      <c r="K392" s="18" t="s">
        <v>277</v>
      </c>
    </row>
    <row r="393">
      <c r="D393" s="18" t="s">
        <v>277</v>
      </c>
      <c r="E393" s="18" t="s">
        <v>277</v>
      </c>
      <c r="F393" s="18" t="s">
        <v>277</v>
      </c>
      <c r="I393" s="18" t="s">
        <v>277</v>
      </c>
      <c r="J393" s="18" t="s">
        <v>277</v>
      </c>
      <c r="K393" s="18" t="s">
        <v>277</v>
      </c>
    </row>
    <row r="394">
      <c r="D394" s="18" t="s">
        <v>277</v>
      </c>
      <c r="E394" s="18" t="s">
        <v>277</v>
      </c>
      <c r="F394" s="18" t="s">
        <v>277</v>
      </c>
      <c r="I394" s="18" t="s">
        <v>277</v>
      </c>
      <c r="J394" s="18" t="s">
        <v>277</v>
      </c>
      <c r="K394" s="18" t="s">
        <v>277</v>
      </c>
    </row>
    <row r="395">
      <c r="D395" s="18" t="s">
        <v>277</v>
      </c>
      <c r="E395" s="18" t="s">
        <v>277</v>
      </c>
      <c r="F395" s="18" t="s">
        <v>277</v>
      </c>
      <c r="I395" s="18" t="s">
        <v>277</v>
      </c>
      <c r="J395" s="18" t="s">
        <v>277</v>
      </c>
      <c r="K395" s="18" t="s">
        <v>277</v>
      </c>
    </row>
    <row r="396">
      <c r="D396" s="18" t="s">
        <v>277</v>
      </c>
      <c r="E396" s="18" t="s">
        <v>277</v>
      </c>
      <c r="F396" s="18" t="s">
        <v>277</v>
      </c>
      <c r="I396" s="18" t="s">
        <v>277</v>
      </c>
      <c r="J396" s="18" t="s">
        <v>277</v>
      </c>
      <c r="K396" s="18" t="s">
        <v>277</v>
      </c>
    </row>
    <row r="397">
      <c r="D397" s="18" t="s">
        <v>277</v>
      </c>
      <c r="E397" s="18" t="s">
        <v>277</v>
      </c>
      <c r="F397" s="18" t="s">
        <v>277</v>
      </c>
      <c r="I397" s="18" t="s">
        <v>277</v>
      </c>
      <c r="J397" s="18" t="s">
        <v>277</v>
      </c>
      <c r="K397" s="18" t="s">
        <v>277</v>
      </c>
    </row>
    <row r="398">
      <c r="D398" s="18" t="s">
        <v>277</v>
      </c>
      <c r="E398" s="18" t="s">
        <v>277</v>
      </c>
      <c r="F398" s="18" t="s">
        <v>277</v>
      </c>
      <c r="I398" s="18" t="s">
        <v>277</v>
      </c>
      <c r="J398" s="18" t="s">
        <v>277</v>
      </c>
      <c r="K398" s="18" t="s">
        <v>277</v>
      </c>
    </row>
    <row r="399">
      <c r="D399" s="18" t="s">
        <v>277</v>
      </c>
      <c r="E399" s="18" t="s">
        <v>277</v>
      </c>
      <c r="F399" s="18" t="s">
        <v>277</v>
      </c>
      <c r="I399" s="18" t="s">
        <v>277</v>
      </c>
      <c r="J399" s="18" t="s">
        <v>277</v>
      </c>
      <c r="K399" s="18" t="s">
        <v>277</v>
      </c>
    </row>
    <row r="400">
      <c r="D400" s="18" t="s">
        <v>277</v>
      </c>
      <c r="E400" s="18" t="s">
        <v>277</v>
      </c>
      <c r="F400" s="18" t="s">
        <v>277</v>
      </c>
      <c r="I400" s="18" t="s">
        <v>277</v>
      </c>
      <c r="J400" s="18" t="s">
        <v>277</v>
      </c>
      <c r="K400" s="18" t="s">
        <v>277</v>
      </c>
    </row>
    <row r="401">
      <c r="D401" s="18" t="s">
        <v>277</v>
      </c>
      <c r="E401" s="18" t="s">
        <v>277</v>
      </c>
      <c r="F401" s="18" t="s">
        <v>277</v>
      </c>
      <c r="I401" s="18" t="s">
        <v>277</v>
      </c>
      <c r="J401" s="18" t="s">
        <v>277</v>
      </c>
      <c r="K401" s="18" t="s">
        <v>277</v>
      </c>
    </row>
    <row r="402">
      <c r="D402" s="18" t="s">
        <v>277</v>
      </c>
      <c r="E402" s="18" t="s">
        <v>277</v>
      </c>
      <c r="F402" s="18" t="s">
        <v>277</v>
      </c>
      <c r="I402" s="18" t="s">
        <v>277</v>
      </c>
      <c r="J402" s="18" t="s">
        <v>277</v>
      </c>
      <c r="K402" s="18" t="s">
        <v>277</v>
      </c>
    </row>
    <row r="403">
      <c r="D403" s="18" t="s">
        <v>277</v>
      </c>
      <c r="E403" s="18" t="s">
        <v>277</v>
      </c>
      <c r="F403" s="18" t="s">
        <v>277</v>
      </c>
      <c r="I403" s="18" t="s">
        <v>277</v>
      </c>
      <c r="J403" s="18" t="s">
        <v>277</v>
      </c>
      <c r="K403" s="18" t="s">
        <v>277</v>
      </c>
    </row>
    <row r="404">
      <c r="D404" s="18" t="s">
        <v>277</v>
      </c>
      <c r="E404" s="18" t="s">
        <v>277</v>
      </c>
      <c r="F404" s="18" t="s">
        <v>277</v>
      </c>
      <c r="I404" s="18" t="s">
        <v>277</v>
      </c>
      <c r="J404" s="18" t="s">
        <v>277</v>
      </c>
      <c r="K404" s="18" t="s">
        <v>277</v>
      </c>
    </row>
    <row r="405">
      <c r="D405" s="18" t="s">
        <v>277</v>
      </c>
      <c r="E405" s="18" t="s">
        <v>277</v>
      </c>
      <c r="F405" s="18" t="s">
        <v>277</v>
      </c>
      <c r="I405" s="18" t="s">
        <v>277</v>
      </c>
      <c r="J405" s="18" t="s">
        <v>277</v>
      </c>
      <c r="K405" s="18" t="s">
        <v>277</v>
      </c>
    </row>
    <row r="406">
      <c r="D406" s="18" t="s">
        <v>277</v>
      </c>
      <c r="E406" s="18" t="s">
        <v>277</v>
      </c>
      <c r="F406" s="18" t="s">
        <v>277</v>
      </c>
      <c r="I406" s="18" t="s">
        <v>277</v>
      </c>
      <c r="J406" s="18" t="s">
        <v>277</v>
      </c>
      <c r="K406" s="18" t="s">
        <v>277</v>
      </c>
    </row>
    <row r="407">
      <c r="D407" s="18" t="s">
        <v>277</v>
      </c>
      <c r="E407" s="18" t="s">
        <v>277</v>
      </c>
      <c r="F407" s="18" t="s">
        <v>277</v>
      </c>
      <c r="I407" s="18" t="s">
        <v>277</v>
      </c>
      <c r="J407" s="18" t="s">
        <v>277</v>
      </c>
      <c r="K407" s="18" t="s">
        <v>277</v>
      </c>
    </row>
    <row r="408">
      <c r="D408" s="18" t="s">
        <v>277</v>
      </c>
      <c r="E408" s="18" t="s">
        <v>277</v>
      </c>
      <c r="F408" s="18" t="s">
        <v>277</v>
      </c>
      <c r="I408" s="18" t="s">
        <v>277</v>
      </c>
      <c r="J408" s="18" t="s">
        <v>277</v>
      </c>
      <c r="K408" s="18" t="s">
        <v>277</v>
      </c>
    </row>
    <row r="409">
      <c r="D409" s="18" t="s">
        <v>277</v>
      </c>
      <c r="E409" s="18" t="s">
        <v>277</v>
      </c>
      <c r="F409" s="18" t="s">
        <v>277</v>
      </c>
      <c r="I409" s="18" t="s">
        <v>277</v>
      </c>
      <c r="J409" s="18" t="s">
        <v>277</v>
      </c>
      <c r="K409" s="18" t="s">
        <v>277</v>
      </c>
    </row>
    <row r="410">
      <c r="D410" s="18" t="s">
        <v>277</v>
      </c>
      <c r="E410" s="18" t="s">
        <v>277</v>
      </c>
      <c r="F410" s="18" t="s">
        <v>277</v>
      </c>
      <c r="I410" s="18" t="s">
        <v>277</v>
      </c>
      <c r="J410" s="18" t="s">
        <v>277</v>
      </c>
      <c r="K410" s="18" t="s">
        <v>277</v>
      </c>
    </row>
    <row r="411">
      <c r="D411" s="18" t="s">
        <v>277</v>
      </c>
      <c r="E411" s="18" t="s">
        <v>277</v>
      </c>
      <c r="F411" s="18" t="s">
        <v>277</v>
      </c>
      <c r="I411" s="18" t="s">
        <v>277</v>
      </c>
      <c r="J411" s="18" t="s">
        <v>277</v>
      </c>
      <c r="K411" s="18" t="s">
        <v>277</v>
      </c>
    </row>
    <row r="412">
      <c r="D412" s="18" t="s">
        <v>277</v>
      </c>
      <c r="E412" s="18" t="s">
        <v>277</v>
      </c>
      <c r="F412" s="18" t="s">
        <v>277</v>
      </c>
      <c r="I412" s="18" t="s">
        <v>277</v>
      </c>
      <c r="J412" s="18" t="s">
        <v>277</v>
      </c>
      <c r="K412" s="18" t="s">
        <v>277</v>
      </c>
    </row>
    <row r="413">
      <c r="D413" s="18" t="s">
        <v>277</v>
      </c>
      <c r="E413" s="18" t="s">
        <v>277</v>
      </c>
      <c r="F413" s="18" t="s">
        <v>277</v>
      </c>
      <c r="I413" s="18" t="s">
        <v>277</v>
      </c>
      <c r="J413" s="18" t="s">
        <v>277</v>
      </c>
      <c r="K413" s="18" t="s">
        <v>277</v>
      </c>
    </row>
    <row r="414">
      <c r="D414" s="18" t="s">
        <v>277</v>
      </c>
      <c r="E414" s="18" t="s">
        <v>277</v>
      </c>
      <c r="F414" s="18" t="s">
        <v>277</v>
      </c>
      <c r="I414" s="18" t="s">
        <v>277</v>
      </c>
      <c r="J414" s="18" t="s">
        <v>277</v>
      </c>
      <c r="K414" s="18" t="s">
        <v>277</v>
      </c>
    </row>
    <row r="415">
      <c r="D415" s="18" t="s">
        <v>277</v>
      </c>
      <c r="E415" s="18" t="s">
        <v>277</v>
      </c>
      <c r="F415" s="18" t="s">
        <v>277</v>
      </c>
      <c r="I415" s="18" t="s">
        <v>277</v>
      </c>
      <c r="J415" s="18" t="s">
        <v>277</v>
      </c>
      <c r="K415" s="18" t="s">
        <v>277</v>
      </c>
    </row>
    <row r="416">
      <c r="D416" s="18" t="s">
        <v>277</v>
      </c>
      <c r="E416" s="18" t="s">
        <v>277</v>
      </c>
      <c r="F416" s="18" t="s">
        <v>277</v>
      </c>
      <c r="I416" s="18" t="s">
        <v>277</v>
      </c>
      <c r="J416" s="18" t="s">
        <v>277</v>
      </c>
      <c r="K416" s="18" t="s">
        <v>277</v>
      </c>
    </row>
    <row r="417">
      <c r="D417" s="18" t="s">
        <v>277</v>
      </c>
      <c r="E417" s="18" t="s">
        <v>277</v>
      </c>
      <c r="F417" s="18" t="s">
        <v>277</v>
      </c>
      <c r="I417" s="18" t="s">
        <v>277</v>
      </c>
      <c r="J417" s="18" t="s">
        <v>277</v>
      </c>
      <c r="K417" s="18" t="s">
        <v>277</v>
      </c>
    </row>
    <row r="418">
      <c r="D418" s="18" t="s">
        <v>277</v>
      </c>
      <c r="E418" s="18" t="s">
        <v>277</v>
      </c>
      <c r="F418" s="18" t="s">
        <v>277</v>
      </c>
      <c r="I418" s="18" t="s">
        <v>277</v>
      </c>
      <c r="J418" s="18" t="s">
        <v>277</v>
      </c>
      <c r="K418" s="18" t="s">
        <v>277</v>
      </c>
    </row>
    <row r="419">
      <c r="D419" s="18" t="s">
        <v>277</v>
      </c>
      <c r="E419" s="18" t="s">
        <v>277</v>
      </c>
      <c r="F419" s="18" t="s">
        <v>277</v>
      </c>
      <c r="I419" s="18" t="s">
        <v>277</v>
      </c>
      <c r="J419" s="18" t="s">
        <v>277</v>
      </c>
      <c r="K419" s="18" t="s">
        <v>277</v>
      </c>
    </row>
    <row r="420">
      <c r="D420" s="18" t="s">
        <v>277</v>
      </c>
      <c r="E420" s="18" t="s">
        <v>277</v>
      </c>
      <c r="F420" s="18" t="s">
        <v>277</v>
      </c>
      <c r="I420" s="18" t="s">
        <v>277</v>
      </c>
      <c r="J420" s="18" t="s">
        <v>277</v>
      </c>
      <c r="K420" s="18" t="s">
        <v>277</v>
      </c>
    </row>
    <row r="421">
      <c r="D421" s="18" t="s">
        <v>277</v>
      </c>
      <c r="E421" s="18" t="s">
        <v>277</v>
      </c>
      <c r="F421" s="18" t="s">
        <v>277</v>
      </c>
      <c r="I421" s="18" t="s">
        <v>277</v>
      </c>
      <c r="J421" s="18" t="s">
        <v>277</v>
      </c>
      <c r="K421" s="18" t="s">
        <v>277</v>
      </c>
    </row>
    <row r="422">
      <c r="D422" s="18" t="s">
        <v>277</v>
      </c>
      <c r="E422" s="18" t="s">
        <v>277</v>
      </c>
      <c r="F422" s="18" t="s">
        <v>277</v>
      </c>
      <c r="I422" s="18" t="s">
        <v>277</v>
      </c>
      <c r="J422" s="18" t="s">
        <v>277</v>
      </c>
      <c r="K422" s="18" t="s">
        <v>277</v>
      </c>
    </row>
    <row r="423">
      <c r="D423" s="18" t="s">
        <v>277</v>
      </c>
      <c r="E423" s="18" t="s">
        <v>277</v>
      </c>
      <c r="F423" s="18" t="s">
        <v>277</v>
      </c>
      <c r="I423" s="18" t="s">
        <v>277</v>
      </c>
      <c r="J423" s="18" t="s">
        <v>277</v>
      </c>
      <c r="K423" s="18" t="s">
        <v>277</v>
      </c>
    </row>
    <row r="424">
      <c r="D424" s="18" t="s">
        <v>277</v>
      </c>
      <c r="E424" s="18" t="s">
        <v>277</v>
      </c>
      <c r="F424" s="18" t="s">
        <v>277</v>
      </c>
      <c r="I424" s="18" t="s">
        <v>277</v>
      </c>
      <c r="J424" s="18" t="s">
        <v>277</v>
      </c>
      <c r="K424" s="18" t="s">
        <v>277</v>
      </c>
    </row>
    <row r="425">
      <c r="D425" s="18" t="s">
        <v>277</v>
      </c>
      <c r="E425" s="18" t="s">
        <v>277</v>
      </c>
      <c r="F425" s="18" t="s">
        <v>277</v>
      </c>
      <c r="I425" s="18" t="s">
        <v>277</v>
      </c>
      <c r="J425" s="18" t="s">
        <v>277</v>
      </c>
      <c r="K425" s="18" t="s">
        <v>277</v>
      </c>
    </row>
    <row r="426">
      <c r="D426" s="18" t="s">
        <v>277</v>
      </c>
      <c r="E426" s="18" t="s">
        <v>277</v>
      </c>
      <c r="F426" s="18" t="s">
        <v>277</v>
      </c>
      <c r="I426" s="18" t="s">
        <v>277</v>
      </c>
      <c r="J426" s="18" t="s">
        <v>277</v>
      </c>
      <c r="K426" s="18" t="s">
        <v>277</v>
      </c>
    </row>
    <row r="427">
      <c r="D427" s="18" t="s">
        <v>277</v>
      </c>
      <c r="E427" s="18" t="s">
        <v>277</v>
      </c>
      <c r="F427" s="18" t="s">
        <v>277</v>
      </c>
      <c r="I427" s="18" t="s">
        <v>277</v>
      </c>
      <c r="J427" s="18" t="s">
        <v>277</v>
      </c>
      <c r="K427" s="18" t="s">
        <v>277</v>
      </c>
    </row>
    <row r="428">
      <c r="D428" s="18" t="s">
        <v>277</v>
      </c>
      <c r="E428" s="18" t="s">
        <v>277</v>
      </c>
      <c r="F428" s="18" t="s">
        <v>277</v>
      </c>
      <c r="I428" s="18" t="s">
        <v>277</v>
      </c>
      <c r="J428" s="18" t="s">
        <v>277</v>
      </c>
      <c r="K428" s="18" t="s">
        <v>277</v>
      </c>
    </row>
    <row r="429">
      <c r="D429" s="18" t="s">
        <v>277</v>
      </c>
      <c r="E429" s="18" t="s">
        <v>277</v>
      </c>
      <c r="F429" s="18" t="s">
        <v>277</v>
      </c>
      <c r="I429" s="18" t="s">
        <v>277</v>
      </c>
      <c r="J429" s="18" t="s">
        <v>277</v>
      </c>
      <c r="K429" s="18" t="s">
        <v>277</v>
      </c>
    </row>
    <row r="430">
      <c r="D430" s="18" t="s">
        <v>277</v>
      </c>
      <c r="E430" s="18" t="s">
        <v>277</v>
      </c>
      <c r="F430" s="18" t="s">
        <v>277</v>
      </c>
      <c r="I430" s="18" t="s">
        <v>277</v>
      </c>
      <c r="J430" s="18" t="s">
        <v>277</v>
      </c>
      <c r="K430" s="18" t="s">
        <v>277</v>
      </c>
    </row>
    <row r="431">
      <c r="D431" s="18" t="s">
        <v>277</v>
      </c>
      <c r="E431" s="18" t="s">
        <v>277</v>
      </c>
      <c r="F431" s="18" t="s">
        <v>277</v>
      </c>
      <c r="I431" s="18" t="s">
        <v>277</v>
      </c>
      <c r="J431" s="18" t="s">
        <v>277</v>
      </c>
      <c r="K431" s="18" t="s">
        <v>277</v>
      </c>
    </row>
    <row r="432">
      <c r="D432" s="18" t="s">
        <v>277</v>
      </c>
      <c r="E432" s="18" t="s">
        <v>277</v>
      </c>
      <c r="F432" s="18" t="s">
        <v>277</v>
      </c>
      <c r="I432" s="18" t="s">
        <v>277</v>
      </c>
      <c r="J432" s="18" t="s">
        <v>277</v>
      </c>
      <c r="K432" s="18" t="s">
        <v>277</v>
      </c>
    </row>
    <row r="433">
      <c r="D433" s="18" t="s">
        <v>277</v>
      </c>
      <c r="E433" s="18" t="s">
        <v>277</v>
      </c>
      <c r="F433" s="18" t="s">
        <v>277</v>
      </c>
      <c r="I433" s="18" t="s">
        <v>277</v>
      </c>
      <c r="J433" s="18" t="s">
        <v>277</v>
      </c>
      <c r="K433" s="18" t="s">
        <v>277</v>
      </c>
    </row>
    <row r="434">
      <c r="D434" s="18" t="s">
        <v>277</v>
      </c>
      <c r="E434" s="18" t="s">
        <v>277</v>
      </c>
      <c r="F434" s="18" t="s">
        <v>277</v>
      </c>
      <c r="I434" s="18" t="s">
        <v>277</v>
      </c>
      <c r="J434" s="18" t="s">
        <v>277</v>
      </c>
      <c r="K434" s="18" t="s">
        <v>277</v>
      </c>
    </row>
    <row r="435">
      <c r="D435" s="18" t="s">
        <v>277</v>
      </c>
      <c r="E435" s="18" t="s">
        <v>277</v>
      </c>
      <c r="F435" s="18" t="s">
        <v>277</v>
      </c>
      <c r="I435" s="18" t="s">
        <v>277</v>
      </c>
      <c r="J435" s="18" t="s">
        <v>277</v>
      </c>
      <c r="K435" s="18" t="s">
        <v>277</v>
      </c>
    </row>
    <row r="436">
      <c r="D436" s="18" t="s">
        <v>277</v>
      </c>
      <c r="E436" s="18" t="s">
        <v>277</v>
      </c>
      <c r="F436" s="18" t="s">
        <v>277</v>
      </c>
      <c r="I436" s="18" t="s">
        <v>277</v>
      </c>
      <c r="J436" s="18" t="s">
        <v>277</v>
      </c>
      <c r="K436" s="18" t="s">
        <v>277</v>
      </c>
    </row>
    <row r="437">
      <c r="D437" s="18" t="s">
        <v>277</v>
      </c>
      <c r="E437" s="18" t="s">
        <v>277</v>
      </c>
      <c r="F437" s="18" t="s">
        <v>277</v>
      </c>
      <c r="I437" s="18" t="s">
        <v>277</v>
      </c>
      <c r="J437" s="18" t="s">
        <v>277</v>
      </c>
      <c r="K437" s="18" t="s">
        <v>277</v>
      </c>
    </row>
    <row r="438">
      <c r="D438" s="18" t="s">
        <v>277</v>
      </c>
      <c r="E438" s="18" t="s">
        <v>277</v>
      </c>
      <c r="F438" s="18" t="s">
        <v>277</v>
      </c>
      <c r="I438" s="18" t="s">
        <v>277</v>
      </c>
      <c r="J438" s="18" t="s">
        <v>277</v>
      </c>
      <c r="K438" s="18" t="s">
        <v>277</v>
      </c>
    </row>
    <row r="439">
      <c r="D439" s="18" t="s">
        <v>277</v>
      </c>
      <c r="E439" s="18" t="s">
        <v>277</v>
      </c>
      <c r="F439" s="18" t="s">
        <v>277</v>
      </c>
      <c r="I439" s="18" t="s">
        <v>277</v>
      </c>
      <c r="J439" s="18" t="s">
        <v>277</v>
      </c>
      <c r="K439" s="18" t="s">
        <v>277</v>
      </c>
    </row>
    <row r="440">
      <c r="D440" s="18" t="s">
        <v>277</v>
      </c>
      <c r="E440" s="18" t="s">
        <v>277</v>
      </c>
      <c r="F440" s="18" t="s">
        <v>277</v>
      </c>
      <c r="I440" s="18" t="s">
        <v>277</v>
      </c>
      <c r="J440" s="18" t="s">
        <v>277</v>
      </c>
      <c r="K440" s="18" t="s">
        <v>277</v>
      </c>
    </row>
    <row r="441">
      <c r="D441" s="18" t="s">
        <v>277</v>
      </c>
      <c r="E441" s="18" t="s">
        <v>277</v>
      </c>
      <c r="F441" s="18" t="s">
        <v>277</v>
      </c>
      <c r="I441" s="18" t="s">
        <v>277</v>
      </c>
      <c r="J441" s="18" t="s">
        <v>277</v>
      </c>
      <c r="K441" s="18" t="s">
        <v>277</v>
      </c>
    </row>
    <row r="442">
      <c r="D442" s="18" t="s">
        <v>277</v>
      </c>
      <c r="E442" s="18" t="s">
        <v>277</v>
      </c>
      <c r="F442" s="18" t="s">
        <v>277</v>
      </c>
      <c r="I442" s="18" t="s">
        <v>277</v>
      </c>
      <c r="J442" s="18" t="s">
        <v>277</v>
      </c>
      <c r="K442" s="18" t="s">
        <v>277</v>
      </c>
    </row>
    <row r="443">
      <c r="D443" s="18" t="s">
        <v>277</v>
      </c>
      <c r="E443" s="18" t="s">
        <v>277</v>
      </c>
      <c r="F443" s="18" t="s">
        <v>277</v>
      </c>
      <c r="I443" s="18" t="s">
        <v>277</v>
      </c>
      <c r="J443" s="18" t="s">
        <v>277</v>
      </c>
      <c r="K443" s="18" t="s">
        <v>277</v>
      </c>
    </row>
    <row r="444">
      <c r="D444" s="18" t="s">
        <v>277</v>
      </c>
      <c r="E444" s="18" t="s">
        <v>277</v>
      </c>
      <c r="F444" s="18" t="s">
        <v>277</v>
      </c>
      <c r="I444" s="18" t="s">
        <v>277</v>
      </c>
      <c r="J444" s="18" t="s">
        <v>277</v>
      </c>
      <c r="K444" s="18" t="s">
        <v>277</v>
      </c>
    </row>
    <row r="445">
      <c r="D445" s="18" t="s">
        <v>277</v>
      </c>
      <c r="E445" s="18" t="s">
        <v>277</v>
      </c>
      <c r="F445" s="18" t="s">
        <v>277</v>
      </c>
      <c r="I445" s="18" t="s">
        <v>277</v>
      </c>
      <c r="J445" s="18" t="s">
        <v>277</v>
      </c>
      <c r="K445" s="18" t="s">
        <v>277</v>
      </c>
    </row>
    <row r="446">
      <c r="D446" s="18" t="s">
        <v>277</v>
      </c>
      <c r="E446" s="18" t="s">
        <v>277</v>
      </c>
      <c r="F446" s="18" t="s">
        <v>277</v>
      </c>
      <c r="I446" s="18" t="s">
        <v>277</v>
      </c>
      <c r="J446" s="18" t="s">
        <v>277</v>
      </c>
      <c r="K446" s="18" t="s">
        <v>277</v>
      </c>
    </row>
    <row r="447">
      <c r="D447" s="18" t="s">
        <v>277</v>
      </c>
      <c r="E447" s="18" t="s">
        <v>277</v>
      </c>
      <c r="F447" s="18" t="s">
        <v>277</v>
      </c>
      <c r="I447" s="18" t="s">
        <v>277</v>
      </c>
      <c r="J447" s="18" t="s">
        <v>277</v>
      </c>
      <c r="K447" s="18" t="s">
        <v>277</v>
      </c>
    </row>
    <row r="448">
      <c r="D448" s="18" t="s">
        <v>277</v>
      </c>
      <c r="E448" s="18" t="s">
        <v>277</v>
      </c>
      <c r="F448" s="18" t="s">
        <v>277</v>
      </c>
      <c r="I448" s="18" t="s">
        <v>277</v>
      </c>
      <c r="J448" s="18" t="s">
        <v>277</v>
      </c>
      <c r="K448" s="18" t="s">
        <v>277</v>
      </c>
    </row>
    <row r="449">
      <c r="D449" s="18" t="s">
        <v>277</v>
      </c>
      <c r="E449" s="18" t="s">
        <v>277</v>
      </c>
      <c r="F449" s="18" t="s">
        <v>277</v>
      </c>
      <c r="I449" s="18" t="s">
        <v>277</v>
      </c>
      <c r="J449" s="18" t="s">
        <v>277</v>
      </c>
      <c r="K449" s="18" t="s">
        <v>277</v>
      </c>
    </row>
    <row r="450">
      <c r="D450" s="18" t="s">
        <v>277</v>
      </c>
      <c r="E450" s="18" t="s">
        <v>277</v>
      </c>
      <c r="F450" s="18" t="s">
        <v>277</v>
      </c>
      <c r="I450" s="18" t="s">
        <v>277</v>
      </c>
      <c r="J450" s="18" t="s">
        <v>277</v>
      </c>
      <c r="K450" s="18" t="s">
        <v>277</v>
      </c>
    </row>
    <row r="451">
      <c r="D451" s="18" t="s">
        <v>277</v>
      </c>
      <c r="E451" s="18" t="s">
        <v>277</v>
      </c>
      <c r="F451" s="18" t="s">
        <v>277</v>
      </c>
      <c r="I451" s="18" t="s">
        <v>277</v>
      </c>
      <c r="J451" s="18" t="s">
        <v>277</v>
      </c>
      <c r="K451" s="18" t="s">
        <v>277</v>
      </c>
    </row>
    <row r="452">
      <c r="D452" s="18" t="s">
        <v>277</v>
      </c>
      <c r="E452" s="18" t="s">
        <v>277</v>
      </c>
      <c r="F452" s="18" t="s">
        <v>277</v>
      </c>
      <c r="I452" s="18" t="s">
        <v>277</v>
      </c>
      <c r="J452" s="18" t="s">
        <v>277</v>
      </c>
      <c r="K452" s="18" t="s">
        <v>277</v>
      </c>
    </row>
    <row r="453">
      <c r="D453" s="18" t="s">
        <v>277</v>
      </c>
      <c r="E453" s="18" t="s">
        <v>277</v>
      </c>
      <c r="F453" s="18" t="s">
        <v>277</v>
      </c>
      <c r="I453" s="18" t="s">
        <v>277</v>
      </c>
      <c r="J453" s="18" t="s">
        <v>277</v>
      </c>
      <c r="K453" s="18" t="s">
        <v>277</v>
      </c>
    </row>
    <row r="454">
      <c r="D454" s="18" t="s">
        <v>277</v>
      </c>
      <c r="E454" s="18" t="s">
        <v>277</v>
      </c>
      <c r="F454" s="18" t="s">
        <v>277</v>
      </c>
      <c r="I454" s="18" t="s">
        <v>277</v>
      </c>
      <c r="J454" s="18" t="s">
        <v>277</v>
      </c>
      <c r="K454" s="18" t="s">
        <v>277</v>
      </c>
    </row>
    <row r="455">
      <c r="D455" s="18" t="s">
        <v>277</v>
      </c>
      <c r="E455" s="18" t="s">
        <v>277</v>
      </c>
      <c r="F455" s="18" t="s">
        <v>277</v>
      </c>
      <c r="I455" s="18" t="s">
        <v>277</v>
      </c>
      <c r="J455" s="18" t="s">
        <v>277</v>
      </c>
      <c r="K455" s="18" t="s">
        <v>277</v>
      </c>
    </row>
    <row r="456">
      <c r="D456" s="18" t="s">
        <v>277</v>
      </c>
      <c r="E456" s="18" t="s">
        <v>277</v>
      </c>
      <c r="F456" s="18" t="s">
        <v>277</v>
      </c>
      <c r="I456" s="18" t="s">
        <v>277</v>
      </c>
      <c r="J456" s="18" t="s">
        <v>277</v>
      </c>
      <c r="K456" s="18" t="s">
        <v>277</v>
      </c>
    </row>
    <row r="457">
      <c r="D457" s="18" t="s">
        <v>277</v>
      </c>
      <c r="E457" s="18" t="s">
        <v>277</v>
      </c>
      <c r="F457" s="18" t="s">
        <v>277</v>
      </c>
      <c r="I457" s="18" t="s">
        <v>277</v>
      </c>
      <c r="J457" s="18" t="s">
        <v>277</v>
      </c>
      <c r="K457" s="18" t="s">
        <v>277</v>
      </c>
    </row>
    <row r="458">
      <c r="D458" s="18" t="s">
        <v>277</v>
      </c>
      <c r="E458" s="18" t="s">
        <v>277</v>
      </c>
      <c r="F458" s="18" t="s">
        <v>277</v>
      </c>
      <c r="I458" s="18" t="s">
        <v>277</v>
      </c>
      <c r="J458" s="18" t="s">
        <v>277</v>
      </c>
      <c r="K458" s="18" t="s">
        <v>277</v>
      </c>
    </row>
    <row r="459">
      <c r="D459" s="18" t="s">
        <v>277</v>
      </c>
      <c r="E459" s="18" t="s">
        <v>277</v>
      </c>
      <c r="F459" s="18" t="s">
        <v>277</v>
      </c>
      <c r="I459" s="18" t="s">
        <v>277</v>
      </c>
      <c r="J459" s="18" t="s">
        <v>277</v>
      </c>
      <c r="K459" s="18" t="s">
        <v>277</v>
      </c>
    </row>
    <row r="460">
      <c r="D460" s="18" t="s">
        <v>277</v>
      </c>
      <c r="E460" s="18" t="s">
        <v>277</v>
      </c>
      <c r="F460" s="18" t="s">
        <v>277</v>
      </c>
      <c r="I460" s="18" t="s">
        <v>277</v>
      </c>
      <c r="J460" s="18" t="s">
        <v>277</v>
      </c>
      <c r="K460" s="18" t="s">
        <v>277</v>
      </c>
    </row>
    <row r="461">
      <c r="D461" s="18" t="s">
        <v>277</v>
      </c>
      <c r="E461" s="18" t="s">
        <v>277</v>
      </c>
      <c r="F461" s="18" t="s">
        <v>277</v>
      </c>
      <c r="I461" s="18" t="s">
        <v>277</v>
      </c>
      <c r="J461" s="18" t="s">
        <v>277</v>
      </c>
      <c r="K461" s="18" t="s">
        <v>277</v>
      </c>
    </row>
    <row r="462">
      <c r="D462" s="18" t="s">
        <v>277</v>
      </c>
      <c r="E462" s="18" t="s">
        <v>277</v>
      </c>
      <c r="F462" s="18" t="s">
        <v>277</v>
      </c>
      <c r="I462" s="18" t="s">
        <v>277</v>
      </c>
      <c r="J462" s="18" t="s">
        <v>277</v>
      </c>
      <c r="K462" s="18" t="s">
        <v>277</v>
      </c>
    </row>
    <row r="463">
      <c r="D463" s="18" t="s">
        <v>277</v>
      </c>
      <c r="E463" s="18" t="s">
        <v>277</v>
      </c>
      <c r="F463" s="18" t="s">
        <v>277</v>
      </c>
      <c r="I463" s="18" t="s">
        <v>277</v>
      </c>
      <c r="J463" s="18" t="s">
        <v>277</v>
      </c>
      <c r="K463" s="18" t="s">
        <v>277</v>
      </c>
    </row>
    <row r="464">
      <c r="D464" s="18" t="s">
        <v>277</v>
      </c>
      <c r="E464" s="18" t="s">
        <v>277</v>
      </c>
      <c r="F464" s="18" t="s">
        <v>277</v>
      </c>
      <c r="I464" s="18" t="s">
        <v>277</v>
      </c>
      <c r="J464" s="18" t="s">
        <v>277</v>
      </c>
      <c r="K464" s="18" t="s">
        <v>277</v>
      </c>
    </row>
    <row r="465">
      <c r="D465" s="18" t="s">
        <v>277</v>
      </c>
      <c r="E465" s="18" t="s">
        <v>277</v>
      </c>
      <c r="F465" s="18" t="s">
        <v>277</v>
      </c>
      <c r="I465" s="18" t="s">
        <v>277</v>
      </c>
      <c r="J465" s="18" t="s">
        <v>277</v>
      </c>
      <c r="K465" s="18" t="s">
        <v>277</v>
      </c>
    </row>
    <row r="466">
      <c r="D466" s="18" t="s">
        <v>277</v>
      </c>
      <c r="E466" s="18" t="s">
        <v>277</v>
      </c>
      <c r="F466" s="18" t="s">
        <v>277</v>
      </c>
      <c r="I466" s="18" t="s">
        <v>277</v>
      </c>
      <c r="J466" s="18" t="s">
        <v>277</v>
      </c>
      <c r="K466" s="18" t="s">
        <v>277</v>
      </c>
    </row>
    <row r="467">
      <c r="D467" s="18" t="s">
        <v>277</v>
      </c>
      <c r="E467" s="18" t="s">
        <v>277</v>
      </c>
      <c r="F467" s="18" t="s">
        <v>277</v>
      </c>
      <c r="I467" s="18" t="s">
        <v>277</v>
      </c>
      <c r="J467" s="18" t="s">
        <v>277</v>
      </c>
      <c r="K467" s="18" t="s">
        <v>277</v>
      </c>
    </row>
    <row r="468">
      <c r="D468" s="18" t="s">
        <v>277</v>
      </c>
      <c r="E468" s="18" t="s">
        <v>277</v>
      </c>
      <c r="F468" s="18" t="s">
        <v>277</v>
      </c>
      <c r="I468" s="18" t="s">
        <v>277</v>
      </c>
      <c r="J468" s="18" t="s">
        <v>277</v>
      </c>
      <c r="K468" s="18" t="s">
        <v>277</v>
      </c>
    </row>
    <row r="469">
      <c r="D469" s="18" t="s">
        <v>277</v>
      </c>
      <c r="E469" s="18" t="s">
        <v>277</v>
      </c>
      <c r="F469" s="18" t="s">
        <v>277</v>
      </c>
      <c r="I469" s="18" t="s">
        <v>277</v>
      </c>
      <c r="J469" s="18" t="s">
        <v>277</v>
      </c>
      <c r="K469" s="18" t="s">
        <v>277</v>
      </c>
    </row>
    <row r="470">
      <c r="D470" s="18" t="s">
        <v>277</v>
      </c>
      <c r="E470" s="18" t="s">
        <v>277</v>
      </c>
      <c r="F470" s="18" t="s">
        <v>277</v>
      </c>
      <c r="I470" s="18" t="s">
        <v>277</v>
      </c>
      <c r="J470" s="18" t="s">
        <v>277</v>
      </c>
      <c r="K470" s="18" t="s">
        <v>277</v>
      </c>
    </row>
    <row r="471">
      <c r="D471" s="18" t="s">
        <v>277</v>
      </c>
      <c r="E471" s="18" t="s">
        <v>277</v>
      </c>
      <c r="F471" s="18" t="s">
        <v>277</v>
      </c>
      <c r="I471" s="18" t="s">
        <v>277</v>
      </c>
      <c r="J471" s="18" t="s">
        <v>277</v>
      </c>
      <c r="K471" s="18" t="s">
        <v>277</v>
      </c>
    </row>
    <row r="472">
      <c r="D472" s="18" t="s">
        <v>277</v>
      </c>
      <c r="E472" s="18" t="s">
        <v>277</v>
      </c>
      <c r="F472" s="18" t="s">
        <v>277</v>
      </c>
      <c r="I472" s="18" t="s">
        <v>277</v>
      </c>
      <c r="J472" s="18" t="s">
        <v>277</v>
      </c>
      <c r="K472" s="18" t="s">
        <v>277</v>
      </c>
    </row>
    <row r="473">
      <c r="D473" s="18" t="s">
        <v>277</v>
      </c>
      <c r="E473" s="18" t="s">
        <v>277</v>
      </c>
      <c r="F473" s="18" t="s">
        <v>277</v>
      </c>
      <c r="I473" s="18" t="s">
        <v>277</v>
      </c>
      <c r="J473" s="18" t="s">
        <v>277</v>
      </c>
      <c r="K473" s="18" t="s">
        <v>277</v>
      </c>
    </row>
    <row r="474">
      <c r="D474" s="18" t="s">
        <v>277</v>
      </c>
      <c r="E474" s="18" t="s">
        <v>277</v>
      </c>
      <c r="F474" s="18" t="s">
        <v>277</v>
      </c>
      <c r="I474" s="18" t="s">
        <v>277</v>
      </c>
      <c r="J474" s="18" t="s">
        <v>277</v>
      </c>
      <c r="K474" s="18" t="s">
        <v>277</v>
      </c>
    </row>
    <row r="475">
      <c r="D475" s="18" t="s">
        <v>277</v>
      </c>
      <c r="E475" s="18" t="s">
        <v>277</v>
      </c>
      <c r="F475" s="18" t="s">
        <v>277</v>
      </c>
      <c r="I475" s="18" t="s">
        <v>277</v>
      </c>
      <c r="J475" s="18" t="s">
        <v>277</v>
      </c>
      <c r="K475" s="18" t="s">
        <v>277</v>
      </c>
    </row>
    <row r="476">
      <c r="D476" s="18" t="s">
        <v>277</v>
      </c>
      <c r="E476" s="18" t="s">
        <v>277</v>
      </c>
      <c r="F476" s="18" t="s">
        <v>277</v>
      </c>
      <c r="I476" s="18" t="s">
        <v>277</v>
      </c>
      <c r="J476" s="18" t="s">
        <v>277</v>
      </c>
      <c r="K476" s="18" t="s">
        <v>277</v>
      </c>
    </row>
    <row r="477">
      <c r="D477" s="18" t="s">
        <v>277</v>
      </c>
      <c r="E477" s="18" t="s">
        <v>277</v>
      </c>
      <c r="F477" s="18" t="s">
        <v>277</v>
      </c>
      <c r="I477" s="18" t="s">
        <v>277</v>
      </c>
      <c r="J477" s="18" t="s">
        <v>277</v>
      </c>
      <c r="K477" s="18" t="s">
        <v>277</v>
      </c>
    </row>
    <row r="478">
      <c r="D478" s="18" t="s">
        <v>277</v>
      </c>
      <c r="E478" s="18" t="s">
        <v>277</v>
      </c>
      <c r="F478" s="18" t="s">
        <v>277</v>
      </c>
      <c r="I478" s="18" t="s">
        <v>277</v>
      </c>
      <c r="J478" s="18" t="s">
        <v>277</v>
      </c>
      <c r="K478" s="18" t="s">
        <v>277</v>
      </c>
    </row>
    <row r="479">
      <c r="D479" s="18" t="s">
        <v>277</v>
      </c>
      <c r="E479" s="18" t="s">
        <v>277</v>
      </c>
      <c r="F479" s="18" t="s">
        <v>277</v>
      </c>
      <c r="I479" s="18" t="s">
        <v>277</v>
      </c>
      <c r="J479" s="18" t="s">
        <v>277</v>
      </c>
      <c r="K479" s="18" t="s">
        <v>277</v>
      </c>
    </row>
    <row r="480">
      <c r="D480" s="18" t="s">
        <v>277</v>
      </c>
      <c r="E480" s="18" t="s">
        <v>277</v>
      </c>
      <c r="F480" s="18" t="s">
        <v>277</v>
      </c>
      <c r="I480" s="18" t="s">
        <v>277</v>
      </c>
      <c r="J480" s="18" t="s">
        <v>277</v>
      </c>
      <c r="K480" s="18" t="s">
        <v>277</v>
      </c>
    </row>
    <row r="481">
      <c r="D481" s="18" t="s">
        <v>277</v>
      </c>
      <c r="E481" s="18" t="s">
        <v>277</v>
      </c>
      <c r="F481" s="18" t="s">
        <v>277</v>
      </c>
      <c r="I481" s="18" t="s">
        <v>277</v>
      </c>
      <c r="J481" s="18" t="s">
        <v>277</v>
      </c>
      <c r="K481" s="18" t="s">
        <v>277</v>
      </c>
    </row>
    <row r="482">
      <c r="D482" s="18" t="s">
        <v>277</v>
      </c>
      <c r="E482" s="18" t="s">
        <v>277</v>
      </c>
      <c r="F482" s="18" t="s">
        <v>277</v>
      </c>
      <c r="I482" s="18" t="s">
        <v>277</v>
      </c>
      <c r="J482" s="18" t="s">
        <v>277</v>
      </c>
      <c r="K482" s="18" t="s">
        <v>277</v>
      </c>
    </row>
    <row r="483">
      <c r="D483" s="18" t="s">
        <v>277</v>
      </c>
      <c r="E483" s="18" t="s">
        <v>277</v>
      </c>
      <c r="F483" s="18" t="s">
        <v>277</v>
      </c>
      <c r="I483" s="18" t="s">
        <v>277</v>
      </c>
      <c r="J483" s="18" t="s">
        <v>277</v>
      </c>
      <c r="K483" s="18" t="s">
        <v>277</v>
      </c>
    </row>
    <row r="484">
      <c r="D484" s="18" t="s">
        <v>277</v>
      </c>
      <c r="E484" s="18" t="s">
        <v>277</v>
      </c>
      <c r="F484" s="18" t="s">
        <v>277</v>
      </c>
      <c r="I484" s="18" t="s">
        <v>277</v>
      </c>
      <c r="J484" s="18" t="s">
        <v>277</v>
      </c>
      <c r="K484" s="18" t="s">
        <v>277</v>
      </c>
    </row>
    <row r="485">
      <c r="D485" s="18" t="s">
        <v>277</v>
      </c>
      <c r="E485" s="18" t="s">
        <v>277</v>
      </c>
      <c r="F485" s="18" t="s">
        <v>277</v>
      </c>
      <c r="I485" s="18" t="s">
        <v>277</v>
      </c>
      <c r="J485" s="18" t="s">
        <v>277</v>
      </c>
      <c r="K485" s="18" t="s">
        <v>277</v>
      </c>
    </row>
    <row r="486">
      <c r="D486" s="18" t="s">
        <v>277</v>
      </c>
      <c r="E486" s="18" t="s">
        <v>277</v>
      </c>
      <c r="F486" s="18" t="s">
        <v>277</v>
      </c>
      <c r="I486" s="18" t="s">
        <v>277</v>
      </c>
      <c r="J486" s="18" t="s">
        <v>277</v>
      </c>
      <c r="K486" s="18" t="s">
        <v>277</v>
      </c>
    </row>
    <row r="487">
      <c r="D487" s="18" t="s">
        <v>277</v>
      </c>
      <c r="E487" s="18" t="s">
        <v>277</v>
      </c>
      <c r="F487" s="18" t="s">
        <v>277</v>
      </c>
      <c r="I487" s="18" t="s">
        <v>277</v>
      </c>
      <c r="J487" s="18" t="s">
        <v>277</v>
      </c>
      <c r="K487" s="18" t="s">
        <v>277</v>
      </c>
    </row>
    <row r="488">
      <c r="D488" s="18" t="s">
        <v>277</v>
      </c>
      <c r="E488" s="18" t="s">
        <v>277</v>
      </c>
      <c r="F488" s="18" t="s">
        <v>277</v>
      </c>
      <c r="I488" s="18" t="s">
        <v>277</v>
      </c>
      <c r="J488" s="18" t="s">
        <v>277</v>
      </c>
      <c r="K488" s="18" t="s">
        <v>277</v>
      </c>
    </row>
    <row r="489">
      <c r="D489" s="18" t="s">
        <v>277</v>
      </c>
      <c r="E489" s="18" t="s">
        <v>277</v>
      </c>
      <c r="F489" s="18" t="s">
        <v>277</v>
      </c>
      <c r="I489" s="18" t="s">
        <v>277</v>
      </c>
      <c r="J489" s="18" t="s">
        <v>277</v>
      </c>
      <c r="K489" s="18" t="s">
        <v>277</v>
      </c>
    </row>
    <row r="490">
      <c r="D490" s="18" t="s">
        <v>277</v>
      </c>
      <c r="E490" s="18" t="s">
        <v>277</v>
      </c>
      <c r="F490" s="18" t="s">
        <v>277</v>
      </c>
      <c r="I490" s="18" t="s">
        <v>277</v>
      </c>
      <c r="J490" s="18" t="s">
        <v>277</v>
      </c>
      <c r="K490" s="18" t="s">
        <v>277</v>
      </c>
    </row>
    <row r="491">
      <c r="D491" s="18" t="s">
        <v>277</v>
      </c>
      <c r="E491" s="18" t="s">
        <v>277</v>
      </c>
      <c r="F491" s="18" t="s">
        <v>277</v>
      </c>
      <c r="I491" s="18" t="s">
        <v>277</v>
      </c>
      <c r="J491" s="18" t="s">
        <v>277</v>
      </c>
      <c r="K491" s="18" t="s">
        <v>277</v>
      </c>
    </row>
    <row r="492">
      <c r="D492" s="18" t="s">
        <v>277</v>
      </c>
      <c r="E492" s="18" t="s">
        <v>277</v>
      </c>
      <c r="F492" s="18" t="s">
        <v>277</v>
      </c>
      <c r="I492" s="18" t="s">
        <v>277</v>
      </c>
      <c r="J492" s="18" t="s">
        <v>277</v>
      </c>
      <c r="K492" s="18" t="s">
        <v>277</v>
      </c>
    </row>
    <row r="493">
      <c r="D493" s="18" t="s">
        <v>277</v>
      </c>
      <c r="E493" s="18" t="s">
        <v>277</v>
      </c>
      <c r="F493" s="18" t="s">
        <v>277</v>
      </c>
      <c r="I493" s="18" t="s">
        <v>277</v>
      </c>
      <c r="J493" s="18" t="s">
        <v>277</v>
      </c>
      <c r="K493" s="18" t="s">
        <v>277</v>
      </c>
    </row>
    <row r="494">
      <c r="D494" s="18" t="s">
        <v>277</v>
      </c>
      <c r="E494" s="18" t="s">
        <v>277</v>
      </c>
      <c r="F494" s="18" t="s">
        <v>277</v>
      </c>
      <c r="I494" s="18" t="s">
        <v>277</v>
      </c>
      <c r="J494" s="18" t="s">
        <v>277</v>
      </c>
      <c r="K494" s="18" t="s">
        <v>277</v>
      </c>
    </row>
    <row r="495">
      <c r="D495" s="18" t="s">
        <v>277</v>
      </c>
      <c r="E495" s="18" t="s">
        <v>277</v>
      </c>
      <c r="F495" s="18" t="s">
        <v>277</v>
      </c>
      <c r="I495" s="18" t="s">
        <v>277</v>
      </c>
      <c r="J495" s="18" t="s">
        <v>277</v>
      </c>
      <c r="K495" s="18" t="s">
        <v>277</v>
      </c>
    </row>
    <row r="496">
      <c r="D496" s="18" t="s">
        <v>277</v>
      </c>
      <c r="E496" s="18" t="s">
        <v>277</v>
      </c>
      <c r="F496" s="18" t="s">
        <v>277</v>
      </c>
      <c r="I496" s="18" t="s">
        <v>277</v>
      </c>
      <c r="J496" s="18" t="s">
        <v>277</v>
      </c>
      <c r="K496" s="18" t="s">
        <v>277</v>
      </c>
    </row>
    <row r="497">
      <c r="D497" s="18" t="s">
        <v>277</v>
      </c>
      <c r="E497" s="18" t="s">
        <v>277</v>
      </c>
      <c r="F497" s="18" t="s">
        <v>277</v>
      </c>
      <c r="I497" s="18" t="s">
        <v>277</v>
      </c>
      <c r="J497" s="18" t="s">
        <v>277</v>
      </c>
      <c r="K497" s="18" t="s">
        <v>277</v>
      </c>
    </row>
    <row r="498">
      <c r="D498" s="18" t="s">
        <v>277</v>
      </c>
      <c r="E498" s="18" t="s">
        <v>277</v>
      </c>
      <c r="F498" s="18" t="s">
        <v>277</v>
      </c>
      <c r="I498" s="18" t="s">
        <v>277</v>
      </c>
      <c r="J498" s="18" t="s">
        <v>277</v>
      </c>
      <c r="K498" s="18" t="s">
        <v>277</v>
      </c>
    </row>
    <row r="499">
      <c r="D499" s="18" t="s">
        <v>277</v>
      </c>
      <c r="E499" s="18" t="s">
        <v>277</v>
      </c>
      <c r="F499" s="18" t="s">
        <v>277</v>
      </c>
      <c r="I499" s="18" t="s">
        <v>277</v>
      </c>
      <c r="J499" s="18" t="s">
        <v>277</v>
      </c>
      <c r="K499" s="18" t="s">
        <v>277</v>
      </c>
    </row>
    <row r="500">
      <c r="D500" s="18" t="s">
        <v>277</v>
      </c>
      <c r="E500" s="18" t="s">
        <v>277</v>
      </c>
      <c r="F500" s="18" t="s">
        <v>277</v>
      </c>
      <c r="I500" s="18" t="s">
        <v>277</v>
      </c>
      <c r="J500" s="18" t="s">
        <v>277</v>
      </c>
      <c r="K500" s="18" t="s">
        <v>277</v>
      </c>
    </row>
    <row r="501">
      <c r="D501" s="18" t="s">
        <v>277</v>
      </c>
      <c r="E501" s="18" t="s">
        <v>277</v>
      </c>
      <c r="F501" s="18" t="s">
        <v>277</v>
      </c>
      <c r="I501" s="18" t="s">
        <v>277</v>
      </c>
      <c r="J501" s="18" t="s">
        <v>277</v>
      </c>
      <c r="K501" s="18" t="s">
        <v>277</v>
      </c>
    </row>
    <row r="502">
      <c r="D502" s="18" t="s">
        <v>277</v>
      </c>
      <c r="E502" s="18" t="s">
        <v>277</v>
      </c>
      <c r="F502" s="18" t="s">
        <v>277</v>
      </c>
      <c r="I502" s="18" t="s">
        <v>277</v>
      </c>
      <c r="J502" s="18" t="s">
        <v>277</v>
      </c>
      <c r="K502" s="18" t="s">
        <v>277</v>
      </c>
    </row>
    <row r="503">
      <c r="D503" s="18" t="s">
        <v>277</v>
      </c>
      <c r="E503" s="18" t="s">
        <v>277</v>
      </c>
      <c r="F503" s="18" t="s">
        <v>277</v>
      </c>
      <c r="I503" s="18" t="s">
        <v>277</v>
      </c>
      <c r="J503" s="18" t="s">
        <v>277</v>
      </c>
      <c r="K503" s="18" t="s">
        <v>277</v>
      </c>
    </row>
    <row r="504">
      <c r="D504" s="18" t="s">
        <v>277</v>
      </c>
      <c r="E504" s="18" t="s">
        <v>277</v>
      </c>
      <c r="F504" s="18" t="s">
        <v>277</v>
      </c>
      <c r="I504" s="18" t="s">
        <v>277</v>
      </c>
      <c r="J504" s="18" t="s">
        <v>277</v>
      </c>
      <c r="K504" s="18" t="s">
        <v>277</v>
      </c>
    </row>
    <row r="505">
      <c r="D505" s="18" t="s">
        <v>277</v>
      </c>
      <c r="E505" s="18" t="s">
        <v>277</v>
      </c>
      <c r="F505" s="18" t="s">
        <v>277</v>
      </c>
      <c r="I505" s="18" t="s">
        <v>277</v>
      </c>
      <c r="J505" s="18" t="s">
        <v>277</v>
      </c>
      <c r="K505" s="18" t="s">
        <v>277</v>
      </c>
    </row>
    <row r="506">
      <c r="D506" s="18" t="s">
        <v>277</v>
      </c>
      <c r="E506" s="18" t="s">
        <v>277</v>
      </c>
      <c r="F506" s="18" t="s">
        <v>277</v>
      </c>
      <c r="I506" s="18" t="s">
        <v>277</v>
      </c>
      <c r="J506" s="18" t="s">
        <v>277</v>
      </c>
      <c r="K506" s="18" t="s">
        <v>277</v>
      </c>
    </row>
    <row r="507">
      <c r="D507" s="18" t="s">
        <v>277</v>
      </c>
      <c r="E507" s="18" t="s">
        <v>277</v>
      </c>
      <c r="F507" s="18" t="s">
        <v>277</v>
      </c>
      <c r="I507" s="18" t="s">
        <v>277</v>
      </c>
      <c r="J507" s="18" t="s">
        <v>277</v>
      </c>
      <c r="K507" s="18" t="s">
        <v>277</v>
      </c>
    </row>
    <row r="508">
      <c r="D508" s="18" t="s">
        <v>277</v>
      </c>
      <c r="E508" s="18" t="s">
        <v>277</v>
      </c>
      <c r="F508" s="18" t="s">
        <v>277</v>
      </c>
      <c r="I508" s="18" t="s">
        <v>277</v>
      </c>
      <c r="J508" s="18" t="s">
        <v>277</v>
      </c>
      <c r="K508" s="18" t="s">
        <v>277</v>
      </c>
    </row>
    <row r="509">
      <c r="D509" s="18" t="s">
        <v>277</v>
      </c>
      <c r="E509" s="18" t="s">
        <v>277</v>
      </c>
      <c r="F509" s="18" t="s">
        <v>277</v>
      </c>
      <c r="I509" s="18" t="s">
        <v>277</v>
      </c>
      <c r="J509" s="18" t="s">
        <v>277</v>
      </c>
      <c r="K509" s="18" t="s">
        <v>277</v>
      </c>
    </row>
    <row r="510">
      <c r="D510" s="18" t="s">
        <v>277</v>
      </c>
      <c r="E510" s="18" t="s">
        <v>277</v>
      </c>
      <c r="F510" s="18" t="s">
        <v>277</v>
      </c>
      <c r="I510" s="18" t="s">
        <v>277</v>
      </c>
      <c r="J510" s="18" t="s">
        <v>277</v>
      </c>
      <c r="K510" s="18" t="s">
        <v>277</v>
      </c>
    </row>
    <row r="511">
      <c r="D511" s="18" t="s">
        <v>277</v>
      </c>
      <c r="E511" s="18" t="s">
        <v>277</v>
      </c>
      <c r="F511" s="18" t="s">
        <v>277</v>
      </c>
      <c r="I511" s="18" t="s">
        <v>277</v>
      </c>
      <c r="J511" s="18" t="s">
        <v>277</v>
      </c>
      <c r="K511" s="18" t="s">
        <v>277</v>
      </c>
    </row>
    <row r="512">
      <c r="D512" s="18" t="s">
        <v>277</v>
      </c>
      <c r="E512" s="18" t="s">
        <v>277</v>
      </c>
      <c r="F512" s="18" t="s">
        <v>277</v>
      </c>
      <c r="I512" s="18" t="s">
        <v>277</v>
      </c>
      <c r="J512" s="18" t="s">
        <v>277</v>
      </c>
      <c r="K512" s="18" t="s">
        <v>277</v>
      </c>
    </row>
    <row r="513">
      <c r="D513" s="18" t="s">
        <v>277</v>
      </c>
      <c r="E513" s="18" t="s">
        <v>277</v>
      </c>
      <c r="F513" s="18" t="s">
        <v>277</v>
      </c>
      <c r="I513" s="18" t="s">
        <v>277</v>
      </c>
      <c r="J513" s="18" t="s">
        <v>277</v>
      </c>
      <c r="K513" s="18" t="s">
        <v>277</v>
      </c>
    </row>
    <row r="514">
      <c r="D514" s="18" t="s">
        <v>277</v>
      </c>
      <c r="E514" s="18" t="s">
        <v>277</v>
      </c>
      <c r="F514" s="18" t="s">
        <v>277</v>
      </c>
      <c r="I514" s="18" t="s">
        <v>277</v>
      </c>
      <c r="J514" s="18" t="s">
        <v>277</v>
      </c>
      <c r="K514" s="18" t="s">
        <v>277</v>
      </c>
    </row>
    <row r="515">
      <c r="D515" s="18" t="s">
        <v>277</v>
      </c>
      <c r="E515" s="18" t="s">
        <v>277</v>
      </c>
      <c r="F515" s="18" t="s">
        <v>277</v>
      </c>
      <c r="I515" s="18" t="s">
        <v>277</v>
      </c>
      <c r="J515" s="18" t="s">
        <v>277</v>
      </c>
      <c r="K515" s="18" t="s">
        <v>277</v>
      </c>
    </row>
    <row r="516">
      <c r="D516" s="18" t="s">
        <v>277</v>
      </c>
      <c r="E516" s="18" t="s">
        <v>277</v>
      </c>
      <c r="F516" s="18" t="s">
        <v>277</v>
      </c>
      <c r="I516" s="18" t="s">
        <v>277</v>
      </c>
      <c r="J516" s="18" t="s">
        <v>277</v>
      </c>
      <c r="K516" s="18" t="s">
        <v>277</v>
      </c>
    </row>
    <row r="517">
      <c r="D517" s="18" t="s">
        <v>277</v>
      </c>
      <c r="E517" s="18" t="s">
        <v>277</v>
      </c>
      <c r="F517" s="18" t="s">
        <v>277</v>
      </c>
      <c r="I517" s="18" t="s">
        <v>277</v>
      </c>
      <c r="J517" s="18" t="s">
        <v>277</v>
      </c>
      <c r="K517" s="18" t="s">
        <v>277</v>
      </c>
    </row>
    <row r="518">
      <c r="D518" s="18" t="s">
        <v>277</v>
      </c>
      <c r="E518" s="18" t="s">
        <v>277</v>
      </c>
      <c r="F518" s="18" t="s">
        <v>277</v>
      </c>
      <c r="I518" s="18" t="s">
        <v>277</v>
      </c>
      <c r="J518" s="18" t="s">
        <v>277</v>
      </c>
      <c r="K518" s="18" t="s">
        <v>277</v>
      </c>
    </row>
    <row r="519">
      <c r="D519" s="18" t="s">
        <v>277</v>
      </c>
      <c r="E519" s="18" t="s">
        <v>277</v>
      </c>
      <c r="F519" s="18" t="s">
        <v>277</v>
      </c>
      <c r="I519" s="18" t="s">
        <v>277</v>
      </c>
      <c r="J519" s="18" t="s">
        <v>277</v>
      </c>
      <c r="K519" s="18" t="s">
        <v>277</v>
      </c>
    </row>
    <row r="520">
      <c r="D520" s="18" t="s">
        <v>277</v>
      </c>
      <c r="E520" s="18" t="s">
        <v>277</v>
      </c>
      <c r="F520" s="18" t="s">
        <v>277</v>
      </c>
      <c r="I520" s="18" t="s">
        <v>277</v>
      </c>
      <c r="J520" s="18" t="s">
        <v>277</v>
      </c>
      <c r="K520" s="18" t="s">
        <v>277</v>
      </c>
    </row>
    <row r="521">
      <c r="D521" s="18" t="s">
        <v>277</v>
      </c>
      <c r="E521" s="18" t="s">
        <v>277</v>
      </c>
      <c r="F521" s="18" t="s">
        <v>277</v>
      </c>
      <c r="I521" s="18" t="s">
        <v>277</v>
      </c>
      <c r="J521" s="18" t="s">
        <v>277</v>
      </c>
      <c r="K521" s="18" t="s">
        <v>277</v>
      </c>
    </row>
    <row r="522">
      <c r="D522" s="18" t="s">
        <v>277</v>
      </c>
      <c r="E522" s="18" t="s">
        <v>277</v>
      </c>
      <c r="F522" s="18" t="s">
        <v>277</v>
      </c>
      <c r="I522" s="18" t="s">
        <v>277</v>
      </c>
      <c r="J522" s="18" t="s">
        <v>277</v>
      </c>
      <c r="K522" s="18" t="s">
        <v>277</v>
      </c>
    </row>
    <row r="523">
      <c r="D523" s="18" t="s">
        <v>277</v>
      </c>
      <c r="E523" s="18" t="s">
        <v>277</v>
      </c>
      <c r="F523" s="18" t="s">
        <v>277</v>
      </c>
      <c r="I523" s="18" t="s">
        <v>277</v>
      </c>
      <c r="J523" s="18" t="s">
        <v>277</v>
      </c>
      <c r="K523" s="18" t="s">
        <v>277</v>
      </c>
    </row>
    <row r="524">
      <c r="D524" s="18" t="s">
        <v>277</v>
      </c>
      <c r="E524" s="18" t="s">
        <v>277</v>
      </c>
      <c r="F524" s="18" t="s">
        <v>277</v>
      </c>
      <c r="I524" s="18" t="s">
        <v>277</v>
      </c>
      <c r="J524" s="18" t="s">
        <v>277</v>
      </c>
      <c r="K524" s="18" t="s">
        <v>277</v>
      </c>
    </row>
    <row r="525">
      <c r="D525" s="18" t="s">
        <v>277</v>
      </c>
      <c r="E525" s="18" t="s">
        <v>277</v>
      </c>
      <c r="F525" s="18" t="s">
        <v>277</v>
      </c>
      <c r="I525" s="18" t="s">
        <v>277</v>
      </c>
      <c r="J525" s="18" t="s">
        <v>277</v>
      </c>
      <c r="K525" s="18" t="s">
        <v>277</v>
      </c>
    </row>
    <row r="526">
      <c r="D526" s="18" t="s">
        <v>277</v>
      </c>
      <c r="E526" s="18" t="s">
        <v>277</v>
      </c>
      <c r="F526" s="18" t="s">
        <v>277</v>
      </c>
      <c r="I526" s="18" t="s">
        <v>277</v>
      </c>
      <c r="J526" s="18" t="s">
        <v>277</v>
      </c>
      <c r="K526" s="18" t="s">
        <v>277</v>
      </c>
    </row>
    <row r="527">
      <c r="D527" s="18" t="s">
        <v>277</v>
      </c>
      <c r="E527" s="18" t="s">
        <v>277</v>
      </c>
      <c r="F527" s="18" t="s">
        <v>277</v>
      </c>
      <c r="I527" s="18" t="s">
        <v>277</v>
      </c>
      <c r="J527" s="18" t="s">
        <v>277</v>
      </c>
      <c r="K527" s="18" t="s">
        <v>277</v>
      </c>
    </row>
    <row r="528">
      <c r="D528" s="18" t="s">
        <v>277</v>
      </c>
      <c r="E528" s="18" t="s">
        <v>277</v>
      </c>
      <c r="F528" s="18" t="s">
        <v>277</v>
      </c>
      <c r="I528" s="18" t="s">
        <v>277</v>
      </c>
      <c r="J528" s="18" t="s">
        <v>277</v>
      </c>
      <c r="K528" s="18" t="s">
        <v>277</v>
      </c>
    </row>
    <row r="529">
      <c r="D529" s="18" t="s">
        <v>277</v>
      </c>
      <c r="E529" s="18" t="s">
        <v>277</v>
      </c>
      <c r="F529" s="18" t="s">
        <v>277</v>
      </c>
      <c r="I529" s="18" t="s">
        <v>277</v>
      </c>
      <c r="J529" s="18" t="s">
        <v>277</v>
      </c>
      <c r="K529" s="18" t="s">
        <v>277</v>
      </c>
    </row>
    <row r="530">
      <c r="D530" s="18" t="s">
        <v>277</v>
      </c>
      <c r="E530" s="18" t="s">
        <v>277</v>
      </c>
      <c r="F530" s="18" t="s">
        <v>277</v>
      </c>
      <c r="I530" s="18" t="s">
        <v>277</v>
      </c>
      <c r="J530" s="18" t="s">
        <v>277</v>
      </c>
      <c r="K530" s="18" t="s">
        <v>277</v>
      </c>
    </row>
    <row r="531">
      <c r="D531" s="18" t="s">
        <v>277</v>
      </c>
      <c r="E531" s="18" t="s">
        <v>277</v>
      </c>
      <c r="F531" s="18" t="s">
        <v>277</v>
      </c>
      <c r="I531" s="18" t="s">
        <v>277</v>
      </c>
      <c r="J531" s="18" t="s">
        <v>277</v>
      </c>
      <c r="K531" s="18" t="s">
        <v>277</v>
      </c>
    </row>
    <row r="532">
      <c r="D532" s="18" t="s">
        <v>277</v>
      </c>
      <c r="E532" s="18" t="s">
        <v>277</v>
      </c>
      <c r="F532" s="18" t="s">
        <v>277</v>
      </c>
      <c r="I532" s="18" t="s">
        <v>277</v>
      </c>
      <c r="J532" s="18" t="s">
        <v>277</v>
      </c>
      <c r="K532" s="18" t="s">
        <v>277</v>
      </c>
    </row>
    <row r="533">
      <c r="D533" s="18" t="s">
        <v>277</v>
      </c>
      <c r="E533" s="18" t="s">
        <v>277</v>
      </c>
      <c r="F533" s="18" t="s">
        <v>277</v>
      </c>
      <c r="I533" s="18" t="s">
        <v>277</v>
      </c>
      <c r="J533" s="18" t="s">
        <v>277</v>
      </c>
      <c r="K533" s="18" t="s">
        <v>277</v>
      </c>
    </row>
    <row r="534">
      <c r="D534" s="18" t="s">
        <v>277</v>
      </c>
      <c r="E534" s="18" t="s">
        <v>277</v>
      </c>
      <c r="F534" s="18" t="s">
        <v>277</v>
      </c>
      <c r="I534" s="18" t="s">
        <v>277</v>
      </c>
      <c r="J534" s="18" t="s">
        <v>277</v>
      </c>
      <c r="K534" s="18" t="s">
        <v>277</v>
      </c>
    </row>
    <row r="535">
      <c r="D535" s="18" t="s">
        <v>277</v>
      </c>
      <c r="E535" s="18" t="s">
        <v>277</v>
      </c>
      <c r="F535" s="18" t="s">
        <v>277</v>
      </c>
      <c r="I535" s="18" t="s">
        <v>277</v>
      </c>
      <c r="J535" s="18" t="s">
        <v>277</v>
      </c>
      <c r="K535" s="18" t="s">
        <v>277</v>
      </c>
    </row>
    <row r="536">
      <c r="D536" s="18" t="s">
        <v>277</v>
      </c>
      <c r="E536" s="18" t="s">
        <v>277</v>
      </c>
      <c r="F536" s="18" t="s">
        <v>277</v>
      </c>
      <c r="I536" s="18" t="s">
        <v>277</v>
      </c>
      <c r="J536" s="18" t="s">
        <v>277</v>
      </c>
      <c r="K536" s="18" t="s">
        <v>277</v>
      </c>
    </row>
    <row r="537">
      <c r="D537" s="18" t="s">
        <v>277</v>
      </c>
      <c r="E537" s="18" t="s">
        <v>277</v>
      </c>
      <c r="F537" s="18" t="s">
        <v>277</v>
      </c>
      <c r="I537" s="18" t="s">
        <v>277</v>
      </c>
      <c r="J537" s="18" t="s">
        <v>277</v>
      </c>
      <c r="K537" s="18" t="s">
        <v>277</v>
      </c>
    </row>
    <row r="538">
      <c r="D538" s="18" t="s">
        <v>277</v>
      </c>
      <c r="E538" s="18" t="s">
        <v>277</v>
      </c>
      <c r="F538" s="18" t="s">
        <v>277</v>
      </c>
      <c r="I538" s="18" t="s">
        <v>277</v>
      </c>
      <c r="J538" s="18" t="s">
        <v>277</v>
      </c>
      <c r="K538" s="18" t="s">
        <v>277</v>
      </c>
    </row>
    <row r="539">
      <c r="D539" s="18" t="s">
        <v>277</v>
      </c>
      <c r="E539" s="18" t="s">
        <v>277</v>
      </c>
      <c r="F539" s="18" t="s">
        <v>277</v>
      </c>
      <c r="I539" s="18" t="s">
        <v>277</v>
      </c>
      <c r="J539" s="18" t="s">
        <v>277</v>
      </c>
      <c r="K539" s="18" t="s">
        <v>277</v>
      </c>
    </row>
    <row r="540">
      <c r="D540" s="18" t="s">
        <v>277</v>
      </c>
      <c r="E540" s="18" t="s">
        <v>277</v>
      </c>
      <c r="F540" s="18" t="s">
        <v>277</v>
      </c>
      <c r="I540" s="18" t="s">
        <v>277</v>
      </c>
      <c r="J540" s="18" t="s">
        <v>277</v>
      </c>
      <c r="K540" s="18" t="s">
        <v>277</v>
      </c>
    </row>
    <row r="541">
      <c r="D541" s="18" t="s">
        <v>277</v>
      </c>
      <c r="E541" s="18" t="s">
        <v>277</v>
      </c>
      <c r="F541" s="18" t="s">
        <v>277</v>
      </c>
      <c r="I541" s="18" t="s">
        <v>277</v>
      </c>
      <c r="J541" s="18" t="s">
        <v>277</v>
      </c>
      <c r="K541" s="18" t="s">
        <v>277</v>
      </c>
    </row>
    <row r="542">
      <c r="D542" s="18" t="s">
        <v>277</v>
      </c>
      <c r="E542" s="18" t="s">
        <v>277</v>
      </c>
      <c r="F542" s="18" t="s">
        <v>277</v>
      </c>
      <c r="I542" s="18" t="s">
        <v>277</v>
      </c>
      <c r="J542" s="18" t="s">
        <v>277</v>
      </c>
      <c r="K542" s="18" t="s">
        <v>277</v>
      </c>
    </row>
    <row r="543">
      <c r="D543" s="18" t="s">
        <v>277</v>
      </c>
      <c r="E543" s="18" t="s">
        <v>277</v>
      </c>
      <c r="F543" s="18" t="s">
        <v>277</v>
      </c>
      <c r="I543" s="18" t="s">
        <v>277</v>
      </c>
      <c r="J543" s="18" t="s">
        <v>277</v>
      </c>
      <c r="K543" s="18" t="s">
        <v>277</v>
      </c>
    </row>
    <row r="544">
      <c r="D544" s="18" t="s">
        <v>277</v>
      </c>
      <c r="E544" s="18" t="s">
        <v>277</v>
      </c>
      <c r="F544" s="18" t="s">
        <v>277</v>
      </c>
      <c r="I544" s="18" t="s">
        <v>277</v>
      </c>
      <c r="J544" s="18" t="s">
        <v>277</v>
      </c>
      <c r="K544" s="18" t="s">
        <v>277</v>
      </c>
    </row>
    <row r="545">
      <c r="D545" s="18" t="s">
        <v>277</v>
      </c>
      <c r="E545" s="18" t="s">
        <v>277</v>
      </c>
      <c r="F545" s="18" t="s">
        <v>277</v>
      </c>
      <c r="I545" s="18" t="s">
        <v>277</v>
      </c>
      <c r="J545" s="18" t="s">
        <v>277</v>
      </c>
      <c r="K545" s="18" t="s">
        <v>277</v>
      </c>
    </row>
    <row r="546">
      <c r="D546" s="18" t="s">
        <v>277</v>
      </c>
      <c r="E546" s="18" t="s">
        <v>277</v>
      </c>
      <c r="F546" s="18" t="s">
        <v>277</v>
      </c>
      <c r="I546" s="18" t="s">
        <v>277</v>
      </c>
      <c r="J546" s="18" t="s">
        <v>277</v>
      </c>
      <c r="K546" s="18" t="s">
        <v>277</v>
      </c>
    </row>
    <row r="547">
      <c r="D547" s="18" t="s">
        <v>277</v>
      </c>
      <c r="E547" s="18" t="s">
        <v>277</v>
      </c>
      <c r="F547" s="18" t="s">
        <v>277</v>
      </c>
      <c r="I547" s="18" t="s">
        <v>277</v>
      </c>
      <c r="J547" s="18" t="s">
        <v>277</v>
      </c>
      <c r="K547" s="18" t="s">
        <v>277</v>
      </c>
    </row>
    <row r="548">
      <c r="D548" s="18" t="s">
        <v>277</v>
      </c>
      <c r="E548" s="18" t="s">
        <v>277</v>
      </c>
      <c r="F548" s="18" t="s">
        <v>277</v>
      </c>
      <c r="I548" s="18" t="s">
        <v>277</v>
      </c>
      <c r="J548" s="18" t="s">
        <v>277</v>
      </c>
      <c r="K548" s="18" t="s">
        <v>277</v>
      </c>
    </row>
    <row r="549">
      <c r="D549" s="18" t="s">
        <v>277</v>
      </c>
      <c r="E549" s="18" t="s">
        <v>277</v>
      </c>
      <c r="F549" s="18" t="s">
        <v>277</v>
      </c>
      <c r="I549" s="18" t="s">
        <v>277</v>
      </c>
      <c r="J549" s="18" t="s">
        <v>277</v>
      </c>
      <c r="K549" s="18" t="s">
        <v>277</v>
      </c>
    </row>
    <row r="550">
      <c r="D550" s="18" t="s">
        <v>277</v>
      </c>
      <c r="E550" s="18" t="s">
        <v>277</v>
      </c>
      <c r="F550" s="18" t="s">
        <v>277</v>
      </c>
      <c r="I550" s="18" t="s">
        <v>277</v>
      </c>
      <c r="J550" s="18" t="s">
        <v>277</v>
      </c>
      <c r="K550" s="18" t="s">
        <v>277</v>
      </c>
    </row>
    <row r="551">
      <c r="D551" s="18" t="s">
        <v>277</v>
      </c>
      <c r="E551" s="18" t="s">
        <v>277</v>
      </c>
      <c r="F551" s="18" t="s">
        <v>277</v>
      </c>
      <c r="I551" s="18" t="s">
        <v>277</v>
      </c>
      <c r="J551" s="18" t="s">
        <v>277</v>
      </c>
      <c r="K551" s="18" t="s">
        <v>277</v>
      </c>
    </row>
    <row r="552">
      <c r="D552" s="18" t="s">
        <v>277</v>
      </c>
      <c r="E552" s="18" t="s">
        <v>277</v>
      </c>
      <c r="F552" s="18" t="s">
        <v>277</v>
      </c>
      <c r="I552" s="18" t="s">
        <v>277</v>
      </c>
      <c r="J552" s="18" t="s">
        <v>277</v>
      </c>
      <c r="K552" s="18" t="s">
        <v>277</v>
      </c>
    </row>
    <row r="553">
      <c r="D553" s="18" t="s">
        <v>277</v>
      </c>
      <c r="E553" s="18" t="s">
        <v>277</v>
      </c>
      <c r="F553" s="18" t="s">
        <v>277</v>
      </c>
      <c r="I553" s="18" t="s">
        <v>277</v>
      </c>
      <c r="J553" s="18" t="s">
        <v>277</v>
      </c>
      <c r="K553" s="18" t="s">
        <v>277</v>
      </c>
    </row>
    <row r="554">
      <c r="D554" s="18" t="s">
        <v>277</v>
      </c>
      <c r="E554" s="18" t="s">
        <v>277</v>
      </c>
      <c r="F554" s="18" t="s">
        <v>277</v>
      </c>
      <c r="I554" s="18" t="s">
        <v>277</v>
      </c>
      <c r="J554" s="18" t="s">
        <v>277</v>
      </c>
      <c r="K554" s="18" t="s">
        <v>277</v>
      </c>
    </row>
    <row r="555">
      <c r="D555" s="18" t="s">
        <v>277</v>
      </c>
      <c r="E555" s="18" t="s">
        <v>277</v>
      </c>
      <c r="F555" s="18" t="s">
        <v>277</v>
      </c>
      <c r="I555" s="18" t="s">
        <v>277</v>
      </c>
      <c r="J555" s="18" t="s">
        <v>277</v>
      </c>
      <c r="K555" s="18" t="s">
        <v>277</v>
      </c>
    </row>
    <row r="556">
      <c r="D556" s="18" t="s">
        <v>277</v>
      </c>
      <c r="E556" s="18" t="s">
        <v>277</v>
      </c>
      <c r="F556" s="18" t="s">
        <v>277</v>
      </c>
      <c r="I556" s="18" t="s">
        <v>277</v>
      </c>
      <c r="J556" s="18" t="s">
        <v>277</v>
      </c>
      <c r="K556" s="18" t="s">
        <v>277</v>
      </c>
    </row>
    <row r="557">
      <c r="D557" s="18" t="s">
        <v>277</v>
      </c>
      <c r="E557" s="18" t="s">
        <v>277</v>
      </c>
      <c r="F557" s="18" t="s">
        <v>277</v>
      </c>
      <c r="I557" s="18" t="s">
        <v>277</v>
      </c>
      <c r="J557" s="18" t="s">
        <v>277</v>
      </c>
      <c r="K557" s="18" t="s">
        <v>277</v>
      </c>
    </row>
    <row r="558">
      <c r="D558" s="18" t="s">
        <v>277</v>
      </c>
      <c r="E558" s="18" t="s">
        <v>277</v>
      </c>
      <c r="F558" s="18" t="s">
        <v>277</v>
      </c>
      <c r="I558" s="18" t="s">
        <v>277</v>
      </c>
      <c r="J558" s="18" t="s">
        <v>277</v>
      </c>
      <c r="K558" s="18" t="s">
        <v>277</v>
      </c>
    </row>
    <row r="559">
      <c r="D559" s="18" t="s">
        <v>277</v>
      </c>
      <c r="E559" s="18" t="s">
        <v>277</v>
      </c>
      <c r="F559" s="18" t="s">
        <v>277</v>
      </c>
      <c r="I559" s="18" t="s">
        <v>277</v>
      </c>
      <c r="J559" s="18" t="s">
        <v>277</v>
      </c>
      <c r="K559" s="18" t="s">
        <v>277</v>
      </c>
    </row>
    <row r="560">
      <c r="D560" s="18" t="s">
        <v>277</v>
      </c>
      <c r="E560" s="18" t="s">
        <v>277</v>
      </c>
      <c r="F560" s="18" t="s">
        <v>277</v>
      </c>
      <c r="I560" s="18" t="s">
        <v>277</v>
      </c>
      <c r="J560" s="18" t="s">
        <v>277</v>
      </c>
      <c r="K560" s="18" t="s">
        <v>277</v>
      </c>
    </row>
    <row r="561">
      <c r="D561" s="18" t="s">
        <v>277</v>
      </c>
      <c r="E561" s="18" t="s">
        <v>277</v>
      </c>
      <c r="F561" s="18" t="s">
        <v>277</v>
      </c>
      <c r="I561" s="18" t="s">
        <v>277</v>
      </c>
      <c r="J561" s="18" t="s">
        <v>277</v>
      </c>
      <c r="K561" s="18" t="s">
        <v>277</v>
      </c>
    </row>
    <row r="562">
      <c r="D562" s="18" t="s">
        <v>277</v>
      </c>
      <c r="E562" s="18" t="s">
        <v>277</v>
      </c>
      <c r="F562" s="18" t="s">
        <v>277</v>
      </c>
      <c r="I562" s="18" t="s">
        <v>277</v>
      </c>
      <c r="J562" s="18" t="s">
        <v>277</v>
      </c>
      <c r="K562" s="18" t="s">
        <v>277</v>
      </c>
    </row>
    <row r="563">
      <c r="D563" s="18" t="s">
        <v>277</v>
      </c>
      <c r="E563" s="18" t="s">
        <v>277</v>
      </c>
      <c r="F563" s="18" t="s">
        <v>277</v>
      </c>
      <c r="I563" s="18" t="s">
        <v>277</v>
      </c>
      <c r="J563" s="18" t="s">
        <v>277</v>
      </c>
      <c r="K563" s="18" t="s">
        <v>277</v>
      </c>
    </row>
    <row r="564">
      <c r="D564" s="18" t="s">
        <v>277</v>
      </c>
      <c r="E564" s="18" t="s">
        <v>277</v>
      </c>
      <c r="F564" s="18" t="s">
        <v>277</v>
      </c>
      <c r="I564" s="18" t="s">
        <v>277</v>
      </c>
      <c r="J564" s="18" t="s">
        <v>277</v>
      </c>
      <c r="K564" s="18" t="s">
        <v>277</v>
      </c>
    </row>
    <row r="565">
      <c r="D565" s="18" t="s">
        <v>277</v>
      </c>
      <c r="E565" s="18" t="s">
        <v>277</v>
      </c>
      <c r="F565" s="18" t="s">
        <v>277</v>
      </c>
      <c r="I565" s="18" t="s">
        <v>277</v>
      </c>
      <c r="J565" s="18" t="s">
        <v>277</v>
      </c>
      <c r="K565" s="18" t="s">
        <v>277</v>
      </c>
    </row>
    <row r="566">
      <c r="D566" s="18" t="s">
        <v>277</v>
      </c>
      <c r="E566" s="18" t="s">
        <v>277</v>
      </c>
      <c r="F566" s="18" t="s">
        <v>277</v>
      </c>
      <c r="I566" s="18" t="s">
        <v>277</v>
      </c>
      <c r="J566" s="18" t="s">
        <v>277</v>
      </c>
      <c r="K566" s="18" t="s">
        <v>277</v>
      </c>
    </row>
    <row r="567">
      <c r="D567" s="18" t="s">
        <v>277</v>
      </c>
      <c r="E567" s="18" t="s">
        <v>277</v>
      </c>
      <c r="F567" s="18" t="s">
        <v>277</v>
      </c>
      <c r="I567" s="18" t="s">
        <v>277</v>
      </c>
      <c r="J567" s="18" t="s">
        <v>277</v>
      </c>
      <c r="K567" s="18" t="s">
        <v>277</v>
      </c>
    </row>
    <row r="568">
      <c r="D568" s="18" t="s">
        <v>277</v>
      </c>
      <c r="E568" s="18" t="s">
        <v>277</v>
      </c>
      <c r="F568" s="18" t="s">
        <v>277</v>
      </c>
      <c r="I568" s="18" t="s">
        <v>277</v>
      </c>
      <c r="J568" s="18" t="s">
        <v>277</v>
      </c>
      <c r="K568" s="18" t="s">
        <v>277</v>
      </c>
    </row>
    <row r="569">
      <c r="D569" s="18" t="s">
        <v>277</v>
      </c>
      <c r="E569" s="18" t="s">
        <v>277</v>
      </c>
      <c r="F569" s="18" t="s">
        <v>277</v>
      </c>
      <c r="I569" s="18" t="s">
        <v>277</v>
      </c>
      <c r="J569" s="18" t="s">
        <v>277</v>
      </c>
      <c r="K569" s="18" t="s">
        <v>277</v>
      </c>
    </row>
    <row r="570">
      <c r="D570" s="18" t="s">
        <v>277</v>
      </c>
      <c r="E570" s="18" t="s">
        <v>277</v>
      </c>
      <c r="F570" s="18" t="s">
        <v>277</v>
      </c>
      <c r="I570" s="18" t="s">
        <v>277</v>
      </c>
      <c r="J570" s="18" t="s">
        <v>277</v>
      </c>
      <c r="K570" s="18" t="s">
        <v>277</v>
      </c>
    </row>
    <row r="571">
      <c r="D571" s="18" t="s">
        <v>277</v>
      </c>
      <c r="E571" s="18" t="s">
        <v>277</v>
      </c>
      <c r="F571" s="18" t="s">
        <v>277</v>
      </c>
      <c r="I571" s="18" t="s">
        <v>277</v>
      </c>
      <c r="J571" s="18" t="s">
        <v>277</v>
      </c>
      <c r="K571" s="18" t="s">
        <v>277</v>
      </c>
    </row>
    <row r="572">
      <c r="D572" s="18" t="s">
        <v>277</v>
      </c>
      <c r="E572" s="18" t="s">
        <v>277</v>
      </c>
      <c r="F572" s="18" t="s">
        <v>277</v>
      </c>
      <c r="I572" s="18" t="s">
        <v>277</v>
      </c>
      <c r="J572" s="18" t="s">
        <v>277</v>
      </c>
      <c r="K572" s="18" t="s">
        <v>277</v>
      </c>
    </row>
    <row r="573">
      <c r="D573" s="18" t="s">
        <v>277</v>
      </c>
      <c r="E573" s="18" t="s">
        <v>277</v>
      </c>
      <c r="F573" s="18" t="s">
        <v>277</v>
      </c>
      <c r="I573" s="18" t="s">
        <v>277</v>
      </c>
      <c r="J573" s="18" t="s">
        <v>277</v>
      </c>
      <c r="K573" s="18" t="s">
        <v>277</v>
      </c>
    </row>
    <row r="574">
      <c r="D574" s="18" t="s">
        <v>277</v>
      </c>
      <c r="E574" s="18" t="s">
        <v>277</v>
      </c>
      <c r="F574" s="18" t="s">
        <v>277</v>
      </c>
      <c r="I574" s="18" t="s">
        <v>277</v>
      </c>
      <c r="J574" s="18" t="s">
        <v>277</v>
      </c>
      <c r="K574" s="18" t="s">
        <v>277</v>
      </c>
    </row>
    <row r="575">
      <c r="D575" s="18" t="s">
        <v>277</v>
      </c>
      <c r="E575" s="18" t="s">
        <v>277</v>
      </c>
      <c r="F575" s="18" t="s">
        <v>277</v>
      </c>
      <c r="I575" s="18" t="s">
        <v>277</v>
      </c>
      <c r="J575" s="18" t="s">
        <v>277</v>
      </c>
      <c r="K575" s="18" t="s">
        <v>277</v>
      </c>
    </row>
    <row r="576">
      <c r="D576" s="18" t="s">
        <v>277</v>
      </c>
      <c r="E576" s="18" t="s">
        <v>277</v>
      </c>
      <c r="F576" s="18" t="s">
        <v>277</v>
      </c>
      <c r="I576" s="18" t="s">
        <v>277</v>
      </c>
      <c r="J576" s="18" t="s">
        <v>277</v>
      </c>
      <c r="K576" s="18" t="s">
        <v>277</v>
      </c>
    </row>
    <row r="577">
      <c r="D577" s="18" t="s">
        <v>277</v>
      </c>
      <c r="E577" s="18" t="s">
        <v>277</v>
      </c>
      <c r="F577" s="18" t="s">
        <v>277</v>
      </c>
      <c r="I577" s="18" t="s">
        <v>277</v>
      </c>
      <c r="J577" s="18" t="s">
        <v>277</v>
      </c>
      <c r="K577" s="18" t="s">
        <v>277</v>
      </c>
    </row>
    <row r="578">
      <c r="D578" s="18" t="s">
        <v>277</v>
      </c>
      <c r="E578" s="18" t="s">
        <v>277</v>
      </c>
      <c r="F578" s="18" t="s">
        <v>277</v>
      </c>
      <c r="I578" s="18" t="s">
        <v>277</v>
      </c>
      <c r="J578" s="18" t="s">
        <v>277</v>
      </c>
      <c r="K578" s="18" t="s">
        <v>277</v>
      </c>
    </row>
    <row r="579">
      <c r="D579" s="18" t="s">
        <v>277</v>
      </c>
      <c r="E579" s="18" t="s">
        <v>277</v>
      </c>
      <c r="F579" s="18" t="s">
        <v>277</v>
      </c>
      <c r="I579" s="18" t="s">
        <v>277</v>
      </c>
      <c r="J579" s="18" t="s">
        <v>277</v>
      </c>
      <c r="K579" s="18" t="s">
        <v>277</v>
      </c>
    </row>
    <row r="580">
      <c r="D580" s="18" t="s">
        <v>277</v>
      </c>
      <c r="E580" s="18" t="s">
        <v>277</v>
      </c>
      <c r="F580" s="18" t="s">
        <v>277</v>
      </c>
      <c r="I580" s="18" t="s">
        <v>277</v>
      </c>
      <c r="J580" s="18" t="s">
        <v>277</v>
      </c>
      <c r="K580" s="18" t="s">
        <v>277</v>
      </c>
    </row>
    <row r="581">
      <c r="D581" s="18" t="s">
        <v>277</v>
      </c>
      <c r="E581" s="18" t="s">
        <v>277</v>
      </c>
      <c r="F581" s="18" t="s">
        <v>277</v>
      </c>
      <c r="I581" s="18" t="s">
        <v>277</v>
      </c>
      <c r="J581" s="18" t="s">
        <v>277</v>
      </c>
      <c r="K581" s="18" t="s">
        <v>277</v>
      </c>
    </row>
    <row r="582">
      <c r="D582" s="18" t="s">
        <v>277</v>
      </c>
      <c r="E582" s="18" t="s">
        <v>277</v>
      </c>
      <c r="F582" s="18" t="s">
        <v>277</v>
      </c>
      <c r="I582" s="18" t="s">
        <v>277</v>
      </c>
      <c r="J582" s="18" t="s">
        <v>277</v>
      </c>
      <c r="K582" s="18" t="s">
        <v>277</v>
      </c>
    </row>
    <row r="583">
      <c r="D583" s="18" t="s">
        <v>277</v>
      </c>
      <c r="E583" s="18" t="s">
        <v>277</v>
      </c>
      <c r="F583" s="18" t="s">
        <v>277</v>
      </c>
      <c r="I583" s="18" t="s">
        <v>277</v>
      </c>
      <c r="J583" s="18" t="s">
        <v>277</v>
      </c>
      <c r="K583" s="18" t="s">
        <v>277</v>
      </c>
    </row>
    <row r="584">
      <c r="D584" s="18" t="s">
        <v>277</v>
      </c>
      <c r="E584" s="18" t="s">
        <v>277</v>
      </c>
      <c r="F584" s="18" t="s">
        <v>277</v>
      </c>
      <c r="I584" s="18" t="s">
        <v>277</v>
      </c>
      <c r="J584" s="18" t="s">
        <v>277</v>
      </c>
      <c r="K584" s="18" t="s">
        <v>277</v>
      </c>
    </row>
    <row r="585">
      <c r="D585" s="18" t="s">
        <v>277</v>
      </c>
      <c r="E585" s="18" t="s">
        <v>277</v>
      </c>
      <c r="F585" s="18" t="s">
        <v>277</v>
      </c>
      <c r="I585" s="18" t="s">
        <v>277</v>
      </c>
      <c r="J585" s="18" t="s">
        <v>277</v>
      </c>
      <c r="K585" s="18" t="s">
        <v>277</v>
      </c>
    </row>
    <row r="586">
      <c r="D586" s="18" t="s">
        <v>277</v>
      </c>
      <c r="E586" s="18" t="s">
        <v>277</v>
      </c>
      <c r="F586" s="18" t="s">
        <v>277</v>
      </c>
      <c r="I586" s="18" t="s">
        <v>277</v>
      </c>
      <c r="J586" s="18" t="s">
        <v>277</v>
      </c>
      <c r="K586" s="18" t="s">
        <v>277</v>
      </c>
    </row>
    <row r="587">
      <c r="D587" s="18" t="s">
        <v>277</v>
      </c>
      <c r="E587" s="18" t="s">
        <v>277</v>
      </c>
      <c r="F587" s="18" t="s">
        <v>277</v>
      </c>
      <c r="I587" s="18" t="s">
        <v>277</v>
      </c>
      <c r="J587" s="18" t="s">
        <v>277</v>
      </c>
      <c r="K587" s="18" t="s">
        <v>277</v>
      </c>
    </row>
    <row r="588">
      <c r="D588" s="18" t="s">
        <v>277</v>
      </c>
      <c r="E588" s="18" t="s">
        <v>277</v>
      </c>
      <c r="F588" s="18" t="s">
        <v>277</v>
      </c>
      <c r="I588" s="18" t="s">
        <v>277</v>
      </c>
      <c r="J588" s="18" t="s">
        <v>277</v>
      </c>
      <c r="K588" s="18" t="s">
        <v>277</v>
      </c>
    </row>
    <row r="589">
      <c r="D589" s="18" t="s">
        <v>277</v>
      </c>
      <c r="E589" s="18" t="s">
        <v>277</v>
      </c>
      <c r="F589" s="18" t="s">
        <v>277</v>
      </c>
      <c r="I589" s="18" t="s">
        <v>277</v>
      </c>
      <c r="J589" s="18" t="s">
        <v>277</v>
      </c>
      <c r="K589" s="18" t="s">
        <v>277</v>
      </c>
    </row>
    <row r="590">
      <c r="D590" s="18" t="s">
        <v>277</v>
      </c>
      <c r="E590" s="18" t="s">
        <v>277</v>
      </c>
      <c r="F590" s="18" t="s">
        <v>277</v>
      </c>
      <c r="I590" s="18" t="s">
        <v>277</v>
      </c>
      <c r="J590" s="18" t="s">
        <v>277</v>
      </c>
      <c r="K590" s="18" t="s">
        <v>277</v>
      </c>
    </row>
    <row r="591">
      <c r="D591" s="18" t="s">
        <v>277</v>
      </c>
      <c r="E591" s="18" t="s">
        <v>277</v>
      </c>
      <c r="F591" s="18" t="s">
        <v>277</v>
      </c>
      <c r="I591" s="18" t="s">
        <v>277</v>
      </c>
      <c r="J591" s="18" t="s">
        <v>277</v>
      </c>
      <c r="K591" s="18" t="s">
        <v>277</v>
      </c>
    </row>
    <row r="592">
      <c r="D592" s="18" t="s">
        <v>277</v>
      </c>
      <c r="E592" s="18" t="s">
        <v>277</v>
      </c>
      <c r="F592" s="18" t="s">
        <v>277</v>
      </c>
      <c r="I592" s="18" t="s">
        <v>277</v>
      </c>
      <c r="J592" s="18" t="s">
        <v>277</v>
      </c>
      <c r="K592" s="18" t="s">
        <v>277</v>
      </c>
    </row>
    <row r="593">
      <c r="D593" s="18" t="s">
        <v>277</v>
      </c>
      <c r="E593" s="18" t="s">
        <v>277</v>
      </c>
      <c r="F593" s="18" t="s">
        <v>277</v>
      </c>
      <c r="I593" s="18" t="s">
        <v>277</v>
      </c>
      <c r="J593" s="18" t="s">
        <v>277</v>
      </c>
      <c r="K593" s="18" t="s">
        <v>277</v>
      </c>
    </row>
    <row r="594">
      <c r="D594" s="18" t="s">
        <v>277</v>
      </c>
      <c r="E594" s="18" t="s">
        <v>277</v>
      </c>
      <c r="F594" s="18" t="s">
        <v>277</v>
      </c>
      <c r="I594" s="18" t="s">
        <v>277</v>
      </c>
      <c r="J594" s="18" t="s">
        <v>277</v>
      </c>
      <c r="K594" s="18" t="s">
        <v>277</v>
      </c>
    </row>
    <row r="595">
      <c r="D595" s="18" t="s">
        <v>277</v>
      </c>
      <c r="E595" s="18" t="s">
        <v>277</v>
      </c>
      <c r="F595" s="18" t="s">
        <v>277</v>
      </c>
      <c r="I595" s="18" t="s">
        <v>277</v>
      </c>
      <c r="J595" s="18" t="s">
        <v>277</v>
      </c>
      <c r="K595" s="18" t="s">
        <v>277</v>
      </c>
    </row>
    <row r="596">
      <c r="D596" s="18" t="s">
        <v>277</v>
      </c>
      <c r="E596" s="18" t="s">
        <v>277</v>
      </c>
      <c r="F596" s="18" t="s">
        <v>277</v>
      </c>
      <c r="I596" s="18" t="s">
        <v>277</v>
      </c>
      <c r="J596" s="18" t="s">
        <v>277</v>
      </c>
      <c r="K596" s="18" t="s">
        <v>277</v>
      </c>
    </row>
    <row r="597">
      <c r="D597" s="18" t="s">
        <v>277</v>
      </c>
      <c r="E597" s="18" t="s">
        <v>277</v>
      </c>
      <c r="F597" s="18" t="s">
        <v>277</v>
      </c>
      <c r="I597" s="18" t="s">
        <v>277</v>
      </c>
      <c r="J597" s="18" t="s">
        <v>277</v>
      </c>
      <c r="K597" s="18" t="s">
        <v>277</v>
      </c>
    </row>
    <row r="598">
      <c r="D598" s="18" t="s">
        <v>277</v>
      </c>
      <c r="E598" s="18" t="s">
        <v>277</v>
      </c>
      <c r="F598" s="18" t="s">
        <v>277</v>
      </c>
      <c r="I598" s="18" t="s">
        <v>277</v>
      </c>
      <c r="J598" s="18" t="s">
        <v>277</v>
      </c>
      <c r="K598" s="18" t="s">
        <v>277</v>
      </c>
    </row>
    <row r="599">
      <c r="D599" s="18" t="s">
        <v>277</v>
      </c>
      <c r="E599" s="18" t="s">
        <v>277</v>
      </c>
      <c r="F599" s="18" t="s">
        <v>277</v>
      </c>
      <c r="I599" s="18" t="s">
        <v>277</v>
      </c>
      <c r="J599" s="18" t="s">
        <v>277</v>
      </c>
      <c r="K599" s="18" t="s">
        <v>277</v>
      </c>
    </row>
    <row r="600">
      <c r="D600" s="18" t="s">
        <v>277</v>
      </c>
      <c r="E600" s="18" t="s">
        <v>277</v>
      </c>
      <c r="F600" s="18" t="s">
        <v>277</v>
      </c>
      <c r="I600" s="18" t="s">
        <v>277</v>
      </c>
      <c r="J600" s="18" t="s">
        <v>277</v>
      </c>
      <c r="K600" s="18" t="s">
        <v>277</v>
      </c>
    </row>
    <row r="601">
      <c r="D601" s="18" t="s">
        <v>277</v>
      </c>
      <c r="E601" s="18" t="s">
        <v>277</v>
      </c>
      <c r="F601" s="18" t="s">
        <v>277</v>
      </c>
      <c r="I601" s="18" t="s">
        <v>277</v>
      </c>
      <c r="J601" s="18" t="s">
        <v>277</v>
      </c>
      <c r="K601" s="18" t="s">
        <v>277</v>
      </c>
    </row>
    <row r="602">
      <c r="D602" s="18" t="s">
        <v>277</v>
      </c>
      <c r="E602" s="18" t="s">
        <v>277</v>
      </c>
      <c r="F602" s="18" t="s">
        <v>277</v>
      </c>
      <c r="I602" s="18" t="s">
        <v>277</v>
      </c>
      <c r="J602" s="18" t="s">
        <v>277</v>
      </c>
      <c r="K602" s="18" t="s">
        <v>277</v>
      </c>
    </row>
    <row r="603">
      <c r="D603" s="18" t="s">
        <v>277</v>
      </c>
      <c r="E603" s="18" t="s">
        <v>277</v>
      </c>
      <c r="F603" s="18" t="s">
        <v>277</v>
      </c>
      <c r="I603" s="18" t="s">
        <v>277</v>
      </c>
      <c r="J603" s="18" t="s">
        <v>277</v>
      </c>
      <c r="K603" s="18" t="s">
        <v>277</v>
      </c>
    </row>
    <row r="604">
      <c r="D604" s="18" t="s">
        <v>277</v>
      </c>
      <c r="E604" s="18" t="s">
        <v>277</v>
      </c>
      <c r="F604" s="18" t="s">
        <v>277</v>
      </c>
      <c r="I604" s="18" t="s">
        <v>277</v>
      </c>
      <c r="J604" s="18" t="s">
        <v>277</v>
      </c>
      <c r="K604" s="18" t="s">
        <v>277</v>
      </c>
    </row>
    <row r="605">
      <c r="D605" s="18" t="s">
        <v>277</v>
      </c>
      <c r="E605" s="18" t="s">
        <v>277</v>
      </c>
      <c r="F605" s="18" t="s">
        <v>277</v>
      </c>
      <c r="I605" s="18" t="s">
        <v>277</v>
      </c>
      <c r="J605" s="18" t="s">
        <v>277</v>
      </c>
      <c r="K605" s="18" t="s">
        <v>277</v>
      </c>
    </row>
    <row r="606">
      <c r="D606" s="18" t="s">
        <v>277</v>
      </c>
      <c r="E606" s="18" t="s">
        <v>277</v>
      </c>
      <c r="F606" s="18" t="s">
        <v>277</v>
      </c>
      <c r="I606" s="18" t="s">
        <v>277</v>
      </c>
      <c r="J606" s="18" t="s">
        <v>277</v>
      </c>
      <c r="K606" s="18" t="s">
        <v>277</v>
      </c>
    </row>
    <row r="607">
      <c r="D607" s="18" t="s">
        <v>277</v>
      </c>
      <c r="E607" s="18" t="s">
        <v>277</v>
      </c>
      <c r="F607" s="18" t="s">
        <v>277</v>
      </c>
      <c r="I607" s="18" t="s">
        <v>277</v>
      </c>
      <c r="J607" s="18" t="s">
        <v>277</v>
      </c>
      <c r="K607" s="18" t="s">
        <v>277</v>
      </c>
    </row>
    <row r="608">
      <c r="D608" s="18" t="s">
        <v>277</v>
      </c>
      <c r="E608" s="18" t="s">
        <v>277</v>
      </c>
      <c r="F608" s="18" t="s">
        <v>277</v>
      </c>
      <c r="I608" s="18" t="s">
        <v>277</v>
      </c>
      <c r="J608" s="18" t="s">
        <v>277</v>
      </c>
      <c r="K608" s="18" t="s">
        <v>277</v>
      </c>
    </row>
    <row r="609">
      <c r="D609" s="18" t="s">
        <v>277</v>
      </c>
      <c r="E609" s="18" t="s">
        <v>277</v>
      </c>
      <c r="F609" s="18" t="s">
        <v>277</v>
      </c>
      <c r="I609" s="18" t="s">
        <v>277</v>
      </c>
      <c r="J609" s="18" t="s">
        <v>277</v>
      </c>
      <c r="K609" s="18" t="s">
        <v>277</v>
      </c>
    </row>
    <row r="610">
      <c r="D610" s="18" t="s">
        <v>277</v>
      </c>
      <c r="E610" s="18" t="s">
        <v>277</v>
      </c>
      <c r="F610" s="18" t="s">
        <v>277</v>
      </c>
      <c r="I610" s="18" t="s">
        <v>277</v>
      </c>
      <c r="J610" s="18" t="s">
        <v>277</v>
      </c>
      <c r="K610" s="18" t="s">
        <v>277</v>
      </c>
    </row>
    <row r="611">
      <c r="D611" s="18" t="s">
        <v>277</v>
      </c>
      <c r="E611" s="18" t="s">
        <v>277</v>
      </c>
      <c r="F611" s="18" t="s">
        <v>277</v>
      </c>
      <c r="I611" s="18" t="s">
        <v>277</v>
      </c>
      <c r="J611" s="18" t="s">
        <v>277</v>
      </c>
      <c r="K611" s="18" t="s">
        <v>277</v>
      </c>
    </row>
    <row r="612">
      <c r="D612" s="18" t="s">
        <v>277</v>
      </c>
      <c r="E612" s="18" t="s">
        <v>277</v>
      </c>
      <c r="F612" s="18" t="s">
        <v>277</v>
      </c>
      <c r="I612" s="18" t="s">
        <v>277</v>
      </c>
      <c r="J612" s="18" t="s">
        <v>277</v>
      </c>
      <c r="K612" s="18" t="s">
        <v>277</v>
      </c>
    </row>
    <row r="613">
      <c r="D613" s="18" t="s">
        <v>277</v>
      </c>
      <c r="E613" s="18" t="s">
        <v>277</v>
      </c>
      <c r="F613" s="18" t="s">
        <v>277</v>
      </c>
      <c r="I613" s="18" t="s">
        <v>277</v>
      </c>
      <c r="J613" s="18" t="s">
        <v>277</v>
      </c>
      <c r="K613" s="18" t="s">
        <v>277</v>
      </c>
    </row>
    <row r="614">
      <c r="D614" s="18" t="s">
        <v>277</v>
      </c>
      <c r="E614" s="18" t="s">
        <v>277</v>
      </c>
      <c r="F614" s="18" t="s">
        <v>277</v>
      </c>
      <c r="I614" s="18" t="s">
        <v>277</v>
      </c>
      <c r="J614" s="18" t="s">
        <v>277</v>
      </c>
      <c r="K614" s="18" t="s">
        <v>277</v>
      </c>
    </row>
    <row r="615">
      <c r="D615" s="18" t="s">
        <v>277</v>
      </c>
      <c r="E615" s="18" t="s">
        <v>277</v>
      </c>
      <c r="F615" s="18" t="s">
        <v>277</v>
      </c>
      <c r="I615" s="18" t="s">
        <v>277</v>
      </c>
      <c r="J615" s="18" t="s">
        <v>277</v>
      </c>
      <c r="K615" s="18" t="s">
        <v>277</v>
      </c>
    </row>
    <row r="616">
      <c r="D616" s="18" t="s">
        <v>277</v>
      </c>
      <c r="E616" s="18" t="s">
        <v>277</v>
      </c>
      <c r="F616" s="18" t="s">
        <v>277</v>
      </c>
      <c r="I616" s="18" t="s">
        <v>277</v>
      </c>
      <c r="J616" s="18" t="s">
        <v>277</v>
      </c>
      <c r="K616" s="18" t="s">
        <v>277</v>
      </c>
    </row>
    <row r="617">
      <c r="D617" s="18" t="s">
        <v>277</v>
      </c>
      <c r="E617" s="18" t="s">
        <v>277</v>
      </c>
      <c r="F617" s="18" t="s">
        <v>277</v>
      </c>
      <c r="I617" s="18" t="s">
        <v>277</v>
      </c>
      <c r="J617" s="18" t="s">
        <v>277</v>
      </c>
      <c r="K617" s="18" t="s">
        <v>277</v>
      </c>
    </row>
    <row r="618">
      <c r="D618" s="18" t="s">
        <v>277</v>
      </c>
      <c r="E618" s="18" t="s">
        <v>277</v>
      </c>
      <c r="F618" s="18" t="s">
        <v>277</v>
      </c>
      <c r="I618" s="18" t="s">
        <v>277</v>
      </c>
      <c r="J618" s="18" t="s">
        <v>277</v>
      </c>
      <c r="K618" s="18" t="s">
        <v>277</v>
      </c>
    </row>
    <row r="619">
      <c r="D619" s="18" t="s">
        <v>277</v>
      </c>
      <c r="E619" s="18" t="s">
        <v>277</v>
      </c>
      <c r="F619" s="18" t="s">
        <v>277</v>
      </c>
      <c r="I619" s="18" t="s">
        <v>277</v>
      </c>
      <c r="J619" s="18" t="s">
        <v>277</v>
      </c>
      <c r="K619" s="18" t="s">
        <v>277</v>
      </c>
    </row>
    <row r="620">
      <c r="D620" s="18" t="s">
        <v>277</v>
      </c>
      <c r="E620" s="18" t="s">
        <v>277</v>
      </c>
      <c r="F620" s="18" t="s">
        <v>277</v>
      </c>
      <c r="I620" s="18" t="s">
        <v>277</v>
      </c>
      <c r="J620" s="18" t="s">
        <v>277</v>
      </c>
      <c r="K620" s="18" t="s">
        <v>277</v>
      </c>
    </row>
    <row r="621">
      <c r="D621" s="18" t="s">
        <v>277</v>
      </c>
      <c r="E621" s="18" t="s">
        <v>277</v>
      </c>
      <c r="F621" s="18" t="s">
        <v>277</v>
      </c>
      <c r="I621" s="18" t="s">
        <v>277</v>
      </c>
      <c r="J621" s="18" t="s">
        <v>277</v>
      </c>
      <c r="K621" s="18" t="s">
        <v>277</v>
      </c>
    </row>
    <row r="622">
      <c r="D622" s="18" t="s">
        <v>277</v>
      </c>
      <c r="E622" s="18" t="s">
        <v>277</v>
      </c>
      <c r="F622" s="18" t="s">
        <v>277</v>
      </c>
      <c r="I622" s="18" t="s">
        <v>277</v>
      </c>
      <c r="J622" s="18" t="s">
        <v>277</v>
      </c>
      <c r="K622" s="18" t="s">
        <v>277</v>
      </c>
    </row>
    <row r="623">
      <c r="D623" s="18" t="s">
        <v>277</v>
      </c>
      <c r="E623" s="18" t="s">
        <v>277</v>
      </c>
      <c r="F623" s="18" t="s">
        <v>277</v>
      </c>
      <c r="I623" s="18" t="s">
        <v>277</v>
      </c>
      <c r="J623" s="18" t="s">
        <v>277</v>
      </c>
      <c r="K623" s="18" t="s">
        <v>277</v>
      </c>
    </row>
    <row r="624">
      <c r="D624" s="18" t="s">
        <v>277</v>
      </c>
      <c r="E624" s="18" t="s">
        <v>277</v>
      </c>
      <c r="F624" s="18" t="s">
        <v>277</v>
      </c>
      <c r="I624" s="18" t="s">
        <v>277</v>
      </c>
      <c r="J624" s="18" t="s">
        <v>277</v>
      </c>
      <c r="K624" s="18" t="s">
        <v>277</v>
      </c>
    </row>
    <row r="625">
      <c r="D625" s="18" t="s">
        <v>277</v>
      </c>
      <c r="E625" s="18" t="s">
        <v>277</v>
      </c>
      <c r="F625" s="18" t="s">
        <v>277</v>
      </c>
      <c r="I625" s="18" t="s">
        <v>277</v>
      </c>
      <c r="J625" s="18" t="s">
        <v>277</v>
      </c>
      <c r="K625" s="18" t="s">
        <v>277</v>
      </c>
    </row>
    <row r="626">
      <c r="D626" s="18" t="s">
        <v>277</v>
      </c>
      <c r="E626" s="18" t="s">
        <v>277</v>
      </c>
      <c r="F626" s="18" t="s">
        <v>277</v>
      </c>
      <c r="I626" s="18" t="s">
        <v>277</v>
      </c>
      <c r="J626" s="18" t="s">
        <v>277</v>
      </c>
      <c r="K626" s="18" t="s">
        <v>277</v>
      </c>
    </row>
    <row r="627">
      <c r="D627" s="18" t="s">
        <v>277</v>
      </c>
      <c r="E627" s="18" t="s">
        <v>277</v>
      </c>
      <c r="F627" s="18" t="s">
        <v>277</v>
      </c>
      <c r="I627" s="18" t="s">
        <v>277</v>
      </c>
      <c r="J627" s="18" t="s">
        <v>277</v>
      </c>
      <c r="K627" s="18" t="s">
        <v>277</v>
      </c>
    </row>
    <row r="628">
      <c r="D628" s="18" t="s">
        <v>277</v>
      </c>
      <c r="E628" s="18" t="s">
        <v>277</v>
      </c>
      <c r="F628" s="18" t="s">
        <v>277</v>
      </c>
      <c r="I628" s="18" t="s">
        <v>277</v>
      </c>
      <c r="J628" s="18" t="s">
        <v>277</v>
      </c>
      <c r="K628" s="18" t="s">
        <v>277</v>
      </c>
    </row>
    <row r="629">
      <c r="D629" s="18" t="s">
        <v>277</v>
      </c>
      <c r="E629" s="18" t="s">
        <v>277</v>
      </c>
      <c r="F629" s="18" t="s">
        <v>277</v>
      </c>
      <c r="I629" s="18" t="s">
        <v>277</v>
      </c>
      <c r="J629" s="18" t="s">
        <v>277</v>
      </c>
      <c r="K629" s="18" t="s">
        <v>277</v>
      </c>
    </row>
    <row r="630">
      <c r="D630" s="18" t="s">
        <v>277</v>
      </c>
      <c r="E630" s="18" t="s">
        <v>277</v>
      </c>
      <c r="F630" s="18" t="s">
        <v>277</v>
      </c>
      <c r="I630" s="18" t="s">
        <v>277</v>
      </c>
      <c r="J630" s="18" t="s">
        <v>277</v>
      </c>
      <c r="K630" s="18" t="s">
        <v>277</v>
      </c>
    </row>
    <row r="631">
      <c r="D631" s="18" t="s">
        <v>277</v>
      </c>
      <c r="E631" s="18" t="s">
        <v>277</v>
      </c>
      <c r="F631" s="18" t="s">
        <v>277</v>
      </c>
      <c r="I631" s="18" t="s">
        <v>277</v>
      </c>
      <c r="J631" s="18" t="s">
        <v>277</v>
      </c>
      <c r="K631" s="18" t="s">
        <v>277</v>
      </c>
    </row>
    <row r="632">
      <c r="D632" s="18" t="s">
        <v>277</v>
      </c>
      <c r="E632" s="18" t="s">
        <v>277</v>
      </c>
      <c r="F632" s="18" t="s">
        <v>277</v>
      </c>
      <c r="I632" s="18" t="s">
        <v>277</v>
      </c>
      <c r="J632" s="18" t="s">
        <v>277</v>
      </c>
      <c r="K632" s="18" t="s">
        <v>277</v>
      </c>
    </row>
    <row r="633">
      <c r="D633" s="18" t="s">
        <v>277</v>
      </c>
      <c r="E633" s="18" t="s">
        <v>277</v>
      </c>
      <c r="F633" s="18" t="s">
        <v>277</v>
      </c>
      <c r="I633" s="18" t="s">
        <v>277</v>
      </c>
      <c r="J633" s="18" t="s">
        <v>277</v>
      </c>
      <c r="K633" s="18" t="s">
        <v>277</v>
      </c>
    </row>
    <row r="634">
      <c r="D634" s="18" t="s">
        <v>277</v>
      </c>
      <c r="E634" s="18" t="s">
        <v>277</v>
      </c>
      <c r="F634" s="18" t="s">
        <v>277</v>
      </c>
      <c r="I634" s="18" t="s">
        <v>277</v>
      </c>
      <c r="J634" s="18" t="s">
        <v>277</v>
      </c>
      <c r="K634" s="18" t="s">
        <v>277</v>
      </c>
    </row>
    <row r="635">
      <c r="D635" s="18" t="s">
        <v>277</v>
      </c>
      <c r="E635" s="18" t="s">
        <v>277</v>
      </c>
      <c r="F635" s="18" t="s">
        <v>277</v>
      </c>
      <c r="I635" s="18" t="s">
        <v>277</v>
      </c>
      <c r="J635" s="18" t="s">
        <v>277</v>
      </c>
      <c r="K635" s="18" t="s">
        <v>277</v>
      </c>
    </row>
    <row r="636">
      <c r="D636" s="18" t="s">
        <v>277</v>
      </c>
      <c r="E636" s="18" t="s">
        <v>277</v>
      </c>
      <c r="F636" s="18" t="s">
        <v>277</v>
      </c>
      <c r="I636" s="18" t="s">
        <v>277</v>
      </c>
      <c r="J636" s="18" t="s">
        <v>277</v>
      </c>
      <c r="K636" s="18" t="s">
        <v>277</v>
      </c>
    </row>
    <row r="637">
      <c r="D637" s="18" t="s">
        <v>277</v>
      </c>
      <c r="E637" s="18" t="s">
        <v>277</v>
      </c>
      <c r="F637" s="18" t="s">
        <v>277</v>
      </c>
      <c r="I637" s="18" t="s">
        <v>277</v>
      </c>
      <c r="J637" s="18" t="s">
        <v>277</v>
      </c>
      <c r="K637" s="18" t="s">
        <v>277</v>
      </c>
    </row>
    <row r="638">
      <c r="D638" s="18" t="s">
        <v>277</v>
      </c>
      <c r="E638" s="18" t="s">
        <v>277</v>
      </c>
      <c r="F638" s="18" t="s">
        <v>277</v>
      </c>
      <c r="I638" s="18" t="s">
        <v>277</v>
      </c>
      <c r="J638" s="18" t="s">
        <v>277</v>
      </c>
      <c r="K638" s="18" t="s">
        <v>277</v>
      </c>
    </row>
    <row r="639">
      <c r="D639" s="18" t="s">
        <v>277</v>
      </c>
      <c r="E639" s="18" t="s">
        <v>277</v>
      </c>
      <c r="F639" s="18" t="s">
        <v>277</v>
      </c>
      <c r="I639" s="18" t="s">
        <v>277</v>
      </c>
      <c r="J639" s="18" t="s">
        <v>277</v>
      </c>
      <c r="K639" s="18" t="s">
        <v>277</v>
      </c>
    </row>
    <row r="640">
      <c r="D640" s="18" t="s">
        <v>277</v>
      </c>
      <c r="E640" s="18" t="s">
        <v>277</v>
      </c>
      <c r="F640" s="18" t="s">
        <v>277</v>
      </c>
      <c r="I640" s="18" t="s">
        <v>277</v>
      </c>
      <c r="J640" s="18" t="s">
        <v>277</v>
      </c>
      <c r="K640" s="18" t="s">
        <v>277</v>
      </c>
    </row>
    <row r="641">
      <c r="D641" s="18" t="s">
        <v>277</v>
      </c>
      <c r="E641" s="18" t="s">
        <v>277</v>
      </c>
      <c r="F641" s="18" t="s">
        <v>277</v>
      </c>
      <c r="I641" s="18" t="s">
        <v>277</v>
      </c>
      <c r="J641" s="18" t="s">
        <v>277</v>
      </c>
      <c r="K641" s="18" t="s">
        <v>277</v>
      </c>
    </row>
    <row r="642">
      <c r="D642" s="18" t="s">
        <v>277</v>
      </c>
      <c r="E642" s="18" t="s">
        <v>277</v>
      </c>
      <c r="F642" s="18" t="s">
        <v>277</v>
      </c>
      <c r="I642" s="18" t="s">
        <v>277</v>
      </c>
      <c r="J642" s="18" t="s">
        <v>277</v>
      </c>
      <c r="K642" s="18" t="s">
        <v>277</v>
      </c>
    </row>
    <row r="643">
      <c r="D643" s="18" t="s">
        <v>277</v>
      </c>
      <c r="E643" s="18" t="s">
        <v>277</v>
      </c>
      <c r="F643" s="18" t="s">
        <v>277</v>
      </c>
      <c r="I643" s="18" t="s">
        <v>277</v>
      </c>
      <c r="J643" s="18" t="s">
        <v>277</v>
      </c>
      <c r="K643" s="18" t="s">
        <v>277</v>
      </c>
    </row>
    <row r="644">
      <c r="D644" s="18" t="s">
        <v>277</v>
      </c>
      <c r="E644" s="18" t="s">
        <v>277</v>
      </c>
      <c r="F644" s="18" t="s">
        <v>277</v>
      </c>
      <c r="I644" s="18" t="s">
        <v>277</v>
      </c>
      <c r="J644" s="18" t="s">
        <v>277</v>
      </c>
      <c r="K644" s="18" t="s">
        <v>277</v>
      </c>
    </row>
    <row r="645">
      <c r="D645" s="18" t="s">
        <v>277</v>
      </c>
      <c r="E645" s="18" t="s">
        <v>277</v>
      </c>
      <c r="F645" s="18" t="s">
        <v>277</v>
      </c>
      <c r="I645" s="18" t="s">
        <v>277</v>
      </c>
      <c r="J645" s="18" t="s">
        <v>277</v>
      </c>
      <c r="K645" s="18" t="s">
        <v>277</v>
      </c>
    </row>
    <row r="646">
      <c r="D646" s="18" t="s">
        <v>277</v>
      </c>
      <c r="E646" s="18" t="s">
        <v>277</v>
      </c>
      <c r="F646" s="18" t="s">
        <v>277</v>
      </c>
      <c r="I646" s="18" t="s">
        <v>277</v>
      </c>
      <c r="J646" s="18" t="s">
        <v>277</v>
      </c>
      <c r="K646" s="18" t="s">
        <v>277</v>
      </c>
    </row>
    <row r="647">
      <c r="D647" s="18" t="s">
        <v>277</v>
      </c>
      <c r="E647" s="18" t="s">
        <v>277</v>
      </c>
      <c r="F647" s="18" t="s">
        <v>277</v>
      </c>
      <c r="I647" s="18" t="s">
        <v>277</v>
      </c>
      <c r="J647" s="18" t="s">
        <v>277</v>
      </c>
      <c r="K647" s="18" t="s">
        <v>277</v>
      </c>
    </row>
    <row r="648">
      <c r="D648" s="18" t="s">
        <v>277</v>
      </c>
      <c r="E648" s="18" t="s">
        <v>277</v>
      </c>
      <c r="F648" s="18" t="s">
        <v>277</v>
      </c>
      <c r="I648" s="18" t="s">
        <v>277</v>
      </c>
      <c r="J648" s="18" t="s">
        <v>277</v>
      </c>
      <c r="K648" s="18" t="s">
        <v>277</v>
      </c>
    </row>
    <row r="649">
      <c r="D649" s="18" t="s">
        <v>277</v>
      </c>
      <c r="E649" s="18" t="s">
        <v>277</v>
      </c>
      <c r="F649" s="18" t="s">
        <v>277</v>
      </c>
      <c r="I649" s="18" t="s">
        <v>277</v>
      </c>
      <c r="J649" s="18" t="s">
        <v>277</v>
      </c>
      <c r="K649" s="18" t="s">
        <v>277</v>
      </c>
    </row>
    <row r="650">
      <c r="D650" s="18" t="s">
        <v>277</v>
      </c>
      <c r="E650" s="18" t="s">
        <v>277</v>
      </c>
      <c r="F650" s="18" t="s">
        <v>277</v>
      </c>
      <c r="I650" s="18" t="s">
        <v>277</v>
      </c>
      <c r="J650" s="18" t="s">
        <v>277</v>
      </c>
      <c r="K650" s="18" t="s">
        <v>277</v>
      </c>
    </row>
    <row r="651">
      <c r="D651" s="18" t="s">
        <v>277</v>
      </c>
      <c r="E651" s="18" t="s">
        <v>277</v>
      </c>
      <c r="F651" s="18" t="s">
        <v>277</v>
      </c>
      <c r="I651" s="18" t="s">
        <v>277</v>
      </c>
      <c r="J651" s="18" t="s">
        <v>277</v>
      </c>
      <c r="K651" s="18" t="s">
        <v>277</v>
      </c>
    </row>
    <row r="652">
      <c r="D652" s="18" t="s">
        <v>277</v>
      </c>
      <c r="E652" s="18" t="s">
        <v>277</v>
      </c>
      <c r="F652" s="18" t="s">
        <v>277</v>
      </c>
      <c r="I652" s="18" t="s">
        <v>277</v>
      </c>
      <c r="J652" s="18" t="s">
        <v>277</v>
      </c>
      <c r="K652" s="18" t="s">
        <v>277</v>
      </c>
    </row>
    <row r="653">
      <c r="D653" s="18" t="s">
        <v>277</v>
      </c>
      <c r="E653" s="18" t="s">
        <v>277</v>
      </c>
      <c r="F653" s="18" t="s">
        <v>277</v>
      </c>
      <c r="I653" s="18" t="s">
        <v>277</v>
      </c>
      <c r="J653" s="18" t="s">
        <v>277</v>
      </c>
      <c r="K653" s="18" t="s">
        <v>277</v>
      </c>
    </row>
    <row r="654">
      <c r="D654" s="18" t="s">
        <v>277</v>
      </c>
      <c r="E654" s="18" t="s">
        <v>277</v>
      </c>
      <c r="F654" s="18" t="s">
        <v>277</v>
      </c>
      <c r="I654" s="18" t="s">
        <v>277</v>
      </c>
      <c r="J654" s="18" t="s">
        <v>277</v>
      </c>
      <c r="K654" s="18" t="s">
        <v>277</v>
      </c>
    </row>
    <row r="655">
      <c r="D655" s="18" t="s">
        <v>277</v>
      </c>
      <c r="E655" s="18" t="s">
        <v>277</v>
      </c>
      <c r="F655" s="18" t="s">
        <v>277</v>
      </c>
      <c r="I655" s="18" t="s">
        <v>277</v>
      </c>
      <c r="J655" s="18" t="s">
        <v>277</v>
      </c>
      <c r="K655" s="18" t="s">
        <v>277</v>
      </c>
    </row>
    <row r="656">
      <c r="D656" s="18" t="s">
        <v>277</v>
      </c>
      <c r="E656" s="18" t="s">
        <v>277</v>
      </c>
      <c r="F656" s="18" t="s">
        <v>277</v>
      </c>
      <c r="I656" s="18" t="s">
        <v>277</v>
      </c>
      <c r="J656" s="18" t="s">
        <v>277</v>
      </c>
      <c r="K656" s="18" t="s">
        <v>277</v>
      </c>
    </row>
    <row r="657">
      <c r="D657" s="18" t="s">
        <v>277</v>
      </c>
      <c r="E657" s="18" t="s">
        <v>277</v>
      </c>
      <c r="F657" s="18" t="s">
        <v>277</v>
      </c>
      <c r="I657" s="18" t="s">
        <v>277</v>
      </c>
      <c r="J657" s="18" t="s">
        <v>277</v>
      </c>
      <c r="K657" s="18" t="s">
        <v>277</v>
      </c>
    </row>
    <row r="658">
      <c r="D658" s="18" t="s">
        <v>277</v>
      </c>
      <c r="E658" s="18" t="s">
        <v>277</v>
      </c>
      <c r="F658" s="18" t="s">
        <v>277</v>
      </c>
      <c r="I658" s="18" t="s">
        <v>277</v>
      </c>
      <c r="J658" s="18" t="s">
        <v>277</v>
      </c>
      <c r="K658" s="18" t="s">
        <v>277</v>
      </c>
    </row>
    <row r="659">
      <c r="D659" s="18" t="s">
        <v>277</v>
      </c>
      <c r="E659" s="18" t="s">
        <v>277</v>
      </c>
      <c r="F659" s="18" t="s">
        <v>277</v>
      </c>
      <c r="I659" s="18" t="s">
        <v>277</v>
      </c>
      <c r="J659" s="18" t="s">
        <v>277</v>
      </c>
      <c r="K659" s="18" t="s">
        <v>277</v>
      </c>
    </row>
    <row r="660">
      <c r="D660" s="18" t="s">
        <v>277</v>
      </c>
      <c r="E660" s="18" t="s">
        <v>277</v>
      </c>
      <c r="F660" s="18" t="s">
        <v>277</v>
      </c>
      <c r="I660" s="18" t="s">
        <v>277</v>
      </c>
      <c r="J660" s="18" t="s">
        <v>277</v>
      </c>
      <c r="K660" s="18" t="s">
        <v>277</v>
      </c>
    </row>
    <row r="661">
      <c r="D661" s="18" t="s">
        <v>277</v>
      </c>
      <c r="E661" s="18" t="s">
        <v>277</v>
      </c>
      <c r="F661" s="18" t="s">
        <v>277</v>
      </c>
      <c r="I661" s="18" t="s">
        <v>277</v>
      </c>
      <c r="J661" s="18" t="s">
        <v>277</v>
      </c>
      <c r="K661" s="18" t="s">
        <v>277</v>
      </c>
    </row>
    <row r="662">
      <c r="D662" s="18" t="s">
        <v>277</v>
      </c>
      <c r="E662" s="18" t="s">
        <v>277</v>
      </c>
      <c r="F662" s="18" t="s">
        <v>277</v>
      </c>
      <c r="I662" s="18" t="s">
        <v>277</v>
      </c>
      <c r="J662" s="18" t="s">
        <v>277</v>
      </c>
      <c r="K662" s="18" t="s">
        <v>277</v>
      </c>
    </row>
    <row r="663">
      <c r="D663" s="18" t="s">
        <v>277</v>
      </c>
      <c r="E663" s="18" t="s">
        <v>277</v>
      </c>
      <c r="F663" s="18" t="s">
        <v>277</v>
      </c>
      <c r="I663" s="18" t="s">
        <v>277</v>
      </c>
      <c r="J663" s="18" t="s">
        <v>277</v>
      </c>
      <c r="K663" s="18" t="s">
        <v>277</v>
      </c>
    </row>
    <row r="664">
      <c r="D664" s="18" t="s">
        <v>277</v>
      </c>
      <c r="E664" s="18" t="s">
        <v>277</v>
      </c>
      <c r="F664" s="18" t="s">
        <v>277</v>
      </c>
      <c r="I664" s="18" t="s">
        <v>277</v>
      </c>
      <c r="J664" s="18" t="s">
        <v>277</v>
      </c>
      <c r="K664" s="18" t="s">
        <v>277</v>
      </c>
    </row>
    <row r="665">
      <c r="D665" s="18" t="s">
        <v>277</v>
      </c>
      <c r="E665" s="18" t="s">
        <v>277</v>
      </c>
      <c r="F665" s="18" t="s">
        <v>277</v>
      </c>
      <c r="I665" s="18" t="s">
        <v>277</v>
      </c>
      <c r="J665" s="18" t="s">
        <v>277</v>
      </c>
      <c r="K665" s="18" t="s">
        <v>277</v>
      </c>
    </row>
    <row r="666">
      <c r="D666" s="18" t="s">
        <v>277</v>
      </c>
      <c r="E666" s="18" t="s">
        <v>277</v>
      </c>
      <c r="F666" s="18" t="s">
        <v>277</v>
      </c>
      <c r="I666" s="18" t="s">
        <v>277</v>
      </c>
      <c r="J666" s="18" t="s">
        <v>277</v>
      </c>
      <c r="K666" s="18" t="s">
        <v>277</v>
      </c>
    </row>
    <row r="667">
      <c r="D667" s="18" t="s">
        <v>277</v>
      </c>
      <c r="E667" s="18" t="s">
        <v>277</v>
      </c>
      <c r="F667" s="18" t="s">
        <v>277</v>
      </c>
      <c r="I667" s="18" t="s">
        <v>277</v>
      </c>
      <c r="J667" s="18" t="s">
        <v>277</v>
      </c>
      <c r="K667" s="18" t="s">
        <v>277</v>
      </c>
    </row>
    <row r="668">
      <c r="D668" s="18" t="s">
        <v>277</v>
      </c>
      <c r="E668" s="18" t="s">
        <v>277</v>
      </c>
      <c r="F668" s="18" t="s">
        <v>277</v>
      </c>
      <c r="I668" s="18" t="s">
        <v>277</v>
      </c>
      <c r="J668" s="18" t="s">
        <v>277</v>
      </c>
      <c r="K668" s="18" t="s">
        <v>277</v>
      </c>
    </row>
    <row r="669">
      <c r="D669" s="18" t="s">
        <v>277</v>
      </c>
      <c r="E669" s="18" t="s">
        <v>277</v>
      </c>
      <c r="F669" s="18" t="s">
        <v>277</v>
      </c>
      <c r="I669" s="18" t="s">
        <v>277</v>
      </c>
      <c r="J669" s="18" t="s">
        <v>277</v>
      </c>
      <c r="K669" s="18" t="s">
        <v>277</v>
      </c>
    </row>
    <row r="670">
      <c r="D670" s="18" t="s">
        <v>277</v>
      </c>
      <c r="E670" s="18" t="s">
        <v>277</v>
      </c>
      <c r="F670" s="18" t="s">
        <v>277</v>
      </c>
      <c r="I670" s="18" t="s">
        <v>277</v>
      </c>
      <c r="J670" s="18" t="s">
        <v>277</v>
      </c>
      <c r="K670" s="18" t="s">
        <v>277</v>
      </c>
    </row>
    <row r="671">
      <c r="D671" s="18" t="s">
        <v>277</v>
      </c>
      <c r="E671" s="18" t="s">
        <v>277</v>
      </c>
      <c r="F671" s="18" t="s">
        <v>277</v>
      </c>
      <c r="I671" s="18" t="s">
        <v>277</v>
      </c>
      <c r="J671" s="18" t="s">
        <v>277</v>
      </c>
      <c r="K671" s="18" t="s">
        <v>277</v>
      </c>
    </row>
    <row r="672">
      <c r="D672" s="18" t="s">
        <v>277</v>
      </c>
      <c r="E672" s="18" t="s">
        <v>277</v>
      </c>
      <c r="F672" s="18" t="s">
        <v>277</v>
      </c>
      <c r="I672" s="18" t="s">
        <v>277</v>
      </c>
      <c r="J672" s="18" t="s">
        <v>277</v>
      </c>
      <c r="K672" s="18" t="s">
        <v>277</v>
      </c>
    </row>
    <row r="673">
      <c r="D673" s="18" t="s">
        <v>277</v>
      </c>
      <c r="E673" s="18" t="s">
        <v>277</v>
      </c>
      <c r="F673" s="18" t="s">
        <v>277</v>
      </c>
      <c r="I673" s="18" t="s">
        <v>277</v>
      </c>
      <c r="J673" s="18" t="s">
        <v>277</v>
      </c>
      <c r="K673" s="18" t="s">
        <v>277</v>
      </c>
    </row>
    <row r="674">
      <c r="D674" s="18" t="s">
        <v>277</v>
      </c>
      <c r="E674" s="18" t="s">
        <v>277</v>
      </c>
      <c r="F674" s="18" t="s">
        <v>277</v>
      </c>
      <c r="I674" s="18" t="s">
        <v>277</v>
      </c>
      <c r="J674" s="18" t="s">
        <v>277</v>
      </c>
      <c r="K674" s="18" t="s">
        <v>277</v>
      </c>
    </row>
    <row r="675">
      <c r="D675" s="18" t="s">
        <v>277</v>
      </c>
      <c r="E675" s="18" t="s">
        <v>277</v>
      </c>
      <c r="F675" s="18" t="s">
        <v>277</v>
      </c>
      <c r="I675" s="18" t="s">
        <v>277</v>
      </c>
      <c r="J675" s="18" t="s">
        <v>277</v>
      </c>
      <c r="K675" s="18" t="s">
        <v>277</v>
      </c>
    </row>
    <row r="676">
      <c r="D676" s="18" t="s">
        <v>277</v>
      </c>
      <c r="E676" s="18" t="s">
        <v>277</v>
      </c>
      <c r="F676" s="18" t="s">
        <v>277</v>
      </c>
      <c r="I676" s="18" t="s">
        <v>277</v>
      </c>
      <c r="J676" s="18" t="s">
        <v>277</v>
      </c>
      <c r="K676" s="18" t="s">
        <v>277</v>
      </c>
    </row>
    <row r="677">
      <c r="D677" s="18" t="s">
        <v>277</v>
      </c>
      <c r="E677" s="18" t="s">
        <v>277</v>
      </c>
      <c r="F677" s="18" t="s">
        <v>277</v>
      </c>
      <c r="I677" s="18" t="s">
        <v>277</v>
      </c>
      <c r="J677" s="18" t="s">
        <v>277</v>
      </c>
      <c r="K677" s="18" t="s">
        <v>277</v>
      </c>
    </row>
    <row r="678">
      <c r="D678" s="18" t="s">
        <v>277</v>
      </c>
      <c r="E678" s="18" t="s">
        <v>277</v>
      </c>
      <c r="F678" s="18" t="s">
        <v>277</v>
      </c>
      <c r="I678" s="18" t="s">
        <v>277</v>
      </c>
      <c r="J678" s="18" t="s">
        <v>277</v>
      </c>
      <c r="K678" s="18" t="s">
        <v>277</v>
      </c>
    </row>
    <row r="679">
      <c r="D679" s="18" t="s">
        <v>277</v>
      </c>
      <c r="E679" s="18" t="s">
        <v>277</v>
      </c>
      <c r="F679" s="18" t="s">
        <v>277</v>
      </c>
      <c r="I679" s="18" t="s">
        <v>277</v>
      </c>
      <c r="J679" s="18" t="s">
        <v>277</v>
      </c>
      <c r="K679" s="18" t="s">
        <v>277</v>
      </c>
    </row>
    <row r="680">
      <c r="D680" s="18" t="s">
        <v>277</v>
      </c>
      <c r="E680" s="18" t="s">
        <v>277</v>
      </c>
      <c r="F680" s="18" t="s">
        <v>277</v>
      </c>
      <c r="I680" s="18" t="s">
        <v>277</v>
      </c>
      <c r="J680" s="18" t="s">
        <v>277</v>
      </c>
      <c r="K680" s="18" t="s">
        <v>277</v>
      </c>
    </row>
    <row r="681">
      <c r="D681" s="18" t="s">
        <v>277</v>
      </c>
      <c r="E681" s="18" t="s">
        <v>277</v>
      </c>
      <c r="F681" s="18" t="s">
        <v>277</v>
      </c>
      <c r="I681" s="18" t="s">
        <v>277</v>
      </c>
      <c r="J681" s="18" t="s">
        <v>277</v>
      </c>
      <c r="K681" s="18" t="s">
        <v>277</v>
      </c>
    </row>
    <row r="682">
      <c r="D682" s="18" t="s">
        <v>277</v>
      </c>
      <c r="E682" s="18" t="s">
        <v>277</v>
      </c>
      <c r="F682" s="18" t="s">
        <v>277</v>
      </c>
      <c r="I682" s="18" t="s">
        <v>277</v>
      </c>
      <c r="J682" s="18" t="s">
        <v>277</v>
      </c>
      <c r="K682" s="18" t="s">
        <v>277</v>
      </c>
    </row>
    <row r="683">
      <c r="D683" s="18" t="s">
        <v>277</v>
      </c>
      <c r="E683" s="18" t="s">
        <v>277</v>
      </c>
      <c r="F683" s="18" t="s">
        <v>277</v>
      </c>
      <c r="I683" s="18" t="s">
        <v>277</v>
      </c>
      <c r="J683" s="18" t="s">
        <v>277</v>
      </c>
      <c r="K683" s="18" t="s">
        <v>277</v>
      </c>
    </row>
    <row r="684">
      <c r="D684" s="18" t="s">
        <v>277</v>
      </c>
      <c r="E684" s="18" t="s">
        <v>277</v>
      </c>
      <c r="F684" s="18" t="s">
        <v>277</v>
      </c>
      <c r="I684" s="18" t="s">
        <v>277</v>
      </c>
      <c r="J684" s="18" t="s">
        <v>277</v>
      </c>
      <c r="K684" s="18" t="s">
        <v>277</v>
      </c>
    </row>
    <row r="685">
      <c r="D685" s="18" t="s">
        <v>277</v>
      </c>
      <c r="E685" s="18" t="s">
        <v>277</v>
      </c>
      <c r="F685" s="18" t="s">
        <v>277</v>
      </c>
      <c r="I685" s="18" t="s">
        <v>277</v>
      </c>
      <c r="J685" s="18" t="s">
        <v>277</v>
      </c>
      <c r="K685" s="18" t="s">
        <v>277</v>
      </c>
    </row>
    <row r="686">
      <c r="D686" s="18" t="s">
        <v>277</v>
      </c>
      <c r="E686" s="18" t="s">
        <v>277</v>
      </c>
      <c r="F686" s="18" t="s">
        <v>277</v>
      </c>
      <c r="I686" s="18" t="s">
        <v>277</v>
      </c>
      <c r="J686" s="18" t="s">
        <v>277</v>
      </c>
      <c r="K686" s="18" t="s">
        <v>277</v>
      </c>
    </row>
    <row r="687">
      <c r="D687" s="18" t="s">
        <v>277</v>
      </c>
      <c r="E687" s="18" t="s">
        <v>277</v>
      </c>
      <c r="F687" s="18" t="s">
        <v>277</v>
      </c>
      <c r="I687" s="18" t="s">
        <v>277</v>
      </c>
      <c r="J687" s="18" t="s">
        <v>277</v>
      </c>
      <c r="K687" s="18" t="s">
        <v>277</v>
      </c>
    </row>
    <row r="688">
      <c r="D688" s="18" t="s">
        <v>277</v>
      </c>
      <c r="E688" s="18" t="s">
        <v>277</v>
      </c>
      <c r="F688" s="18" t="s">
        <v>277</v>
      </c>
      <c r="I688" s="18" t="s">
        <v>277</v>
      </c>
      <c r="J688" s="18" t="s">
        <v>277</v>
      </c>
      <c r="K688" s="18" t="s">
        <v>277</v>
      </c>
    </row>
    <row r="689">
      <c r="D689" s="18" t="s">
        <v>277</v>
      </c>
      <c r="E689" s="18" t="s">
        <v>277</v>
      </c>
      <c r="F689" s="18" t="s">
        <v>277</v>
      </c>
      <c r="I689" s="18" t="s">
        <v>277</v>
      </c>
      <c r="J689" s="18" t="s">
        <v>277</v>
      </c>
      <c r="K689" s="18" t="s">
        <v>277</v>
      </c>
    </row>
    <row r="690">
      <c r="D690" s="18" t="s">
        <v>277</v>
      </c>
      <c r="E690" s="18" t="s">
        <v>277</v>
      </c>
      <c r="F690" s="18" t="s">
        <v>277</v>
      </c>
      <c r="I690" s="18" t="s">
        <v>277</v>
      </c>
      <c r="J690" s="18" t="s">
        <v>277</v>
      </c>
      <c r="K690" s="18" t="s">
        <v>277</v>
      </c>
    </row>
    <row r="691">
      <c r="D691" s="18" t="s">
        <v>277</v>
      </c>
      <c r="E691" s="18" t="s">
        <v>277</v>
      </c>
      <c r="F691" s="18" t="s">
        <v>277</v>
      </c>
      <c r="I691" s="18" t="s">
        <v>277</v>
      </c>
      <c r="J691" s="18" t="s">
        <v>277</v>
      </c>
      <c r="K691" s="18" t="s">
        <v>277</v>
      </c>
    </row>
    <row r="692">
      <c r="D692" s="18" t="s">
        <v>277</v>
      </c>
      <c r="E692" s="18" t="s">
        <v>277</v>
      </c>
      <c r="F692" s="18" t="s">
        <v>277</v>
      </c>
      <c r="I692" s="18" t="s">
        <v>277</v>
      </c>
      <c r="J692" s="18" t="s">
        <v>277</v>
      </c>
      <c r="K692" s="18" t="s">
        <v>277</v>
      </c>
    </row>
    <row r="693">
      <c r="D693" s="18" t="s">
        <v>277</v>
      </c>
      <c r="E693" s="18" t="s">
        <v>277</v>
      </c>
      <c r="F693" s="18" t="s">
        <v>277</v>
      </c>
      <c r="I693" s="18" t="s">
        <v>277</v>
      </c>
      <c r="J693" s="18" t="s">
        <v>277</v>
      </c>
      <c r="K693" s="18" t="s">
        <v>277</v>
      </c>
    </row>
    <row r="694">
      <c r="D694" s="18" t="s">
        <v>277</v>
      </c>
      <c r="E694" s="18" t="s">
        <v>277</v>
      </c>
      <c r="F694" s="18" t="s">
        <v>277</v>
      </c>
      <c r="I694" s="18" t="s">
        <v>277</v>
      </c>
      <c r="J694" s="18" t="s">
        <v>277</v>
      </c>
      <c r="K694" s="18" t="s">
        <v>277</v>
      </c>
    </row>
    <row r="695">
      <c r="D695" s="18" t="s">
        <v>277</v>
      </c>
      <c r="E695" s="18" t="s">
        <v>277</v>
      </c>
      <c r="F695" s="18" t="s">
        <v>277</v>
      </c>
      <c r="I695" s="18" t="s">
        <v>277</v>
      </c>
      <c r="J695" s="18" t="s">
        <v>277</v>
      </c>
      <c r="K695" s="18" t="s">
        <v>277</v>
      </c>
    </row>
    <row r="696">
      <c r="D696" s="18" t="s">
        <v>277</v>
      </c>
      <c r="E696" s="18" t="s">
        <v>277</v>
      </c>
      <c r="F696" s="18" t="s">
        <v>277</v>
      </c>
      <c r="I696" s="18" t="s">
        <v>277</v>
      </c>
      <c r="J696" s="18" t="s">
        <v>277</v>
      </c>
      <c r="K696" s="18" t="s">
        <v>277</v>
      </c>
    </row>
    <row r="697">
      <c r="D697" s="18" t="s">
        <v>277</v>
      </c>
      <c r="E697" s="18" t="s">
        <v>277</v>
      </c>
      <c r="F697" s="18" t="s">
        <v>277</v>
      </c>
      <c r="I697" s="18" t="s">
        <v>277</v>
      </c>
      <c r="J697" s="18" t="s">
        <v>277</v>
      </c>
      <c r="K697" s="18" t="s">
        <v>277</v>
      </c>
    </row>
    <row r="698">
      <c r="D698" s="18" t="s">
        <v>277</v>
      </c>
      <c r="E698" s="18" t="s">
        <v>277</v>
      </c>
      <c r="F698" s="18" t="s">
        <v>277</v>
      </c>
      <c r="I698" s="18" t="s">
        <v>277</v>
      </c>
      <c r="J698" s="18" t="s">
        <v>277</v>
      </c>
      <c r="K698" s="18" t="s">
        <v>277</v>
      </c>
    </row>
    <row r="699">
      <c r="D699" s="18" t="s">
        <v>277</v>
      </c>
      <c r="E699" s="18" t="s">
        <v>277</v>
      </c>
      <c r="F699" s="18" t="s">
        <v>277</v>
      </c>
      <c r="I699" s="18" t="s">
        <v>277</v>
      </c>
      <c r="J699" s="18" t="s">
        <v>277</v>
      </c>
      <c r="K699" s="18" t="s">
        <v>277</v>
      </c>
    </row>
    <row r="700">
      <c r="D700" s="18" t="s">
        <v>277</v>
      </c>
      <c r="E700" s="18" t="s">
        <v>277</v>
      </c>
      <c r="F700" s="18" t="s">
        <v>277</v>
      </c>
      <c r="I700" s="18" t="s">
        <v>277</v>
      </c>
      <c r="J700" s="18" t="s">
        <v>277</v>
      </c>
      <c r="K700" s="18" t="s">
        <v>277</v>
      </c>
    </row>
    <row r="701">
      <c r="D701" s="18" t="s">
        <v>277</v>
      </c>
      <c r="E701" s="18" t="s">
        <v>277</v>
      </c>
      <c r="F701" s="18" t="s">
        <v>277</v>
      </c>
      <c r="I701" s="18" t="s">
        <v>277</v>
      </c>
      <c r="J701" s="18" t="s">
        <v>277</v>
      </c>
      <c r="K701" s="18" t="s">
        <v>277</v>
      </c>
    </row>
    <row r="702">
      <c r="D702" s="18" t="s">
        <v>277</v>
      </c>
      <c r="E702" s="18" t="s">
        <v>277</v>
      </c>
      <c r="F702" s="18" t="s">
        <v>277</v>
      </c>
      <c r="I702" s="18" t="s">
        <v>277</v>
      </c>
      <c r="J702" s="18" t="s">
        <v>277</v>
      </c>
      <c r="K702" s="18" t="s">
        <v>277</v>
      </c>
    </row>
    <row r="703">
      <c r="D703" s="18" t="s">
        <v>277</v>
      </c>
      <c r="E703" s="18" t="s">
        <v>277</v>
      </c>
      <c r="F703" s="18" t="s">
        <v>277</v>
      </c>
      <c r="I703" s="18" t="s">
        <v>277</v>
      </c>
      <c r="J703" s="18" t="s">
        <v>277</v>
      </c>
      <c r="K703" s="18" t="s">
        <v>277</v>
      </c>
    </row>
    <row r="704">
      <c r="D704" s="18" t="s">
        <v>277</v>
      </c>
      <c r="E704" s="18" t="s">
        <v>277</v>
      </c>
      <c r="F704" s="18" t="s">
        <v>277</v>
      </c>
      <c r="I704" s="18" t="s">
        <v>277</v>
      </c>
      <c r="J704" s="18" t="s">
        <v>277</v>
      </c>
      <c r="K704" s="18" t="s">
        <v>277</v>
      </c>
    </row>
    <row r="705">
      <c r="D705" s="18" t="s">
        <v>277</v>
      </c>
      <c r="E705" s="18" t="s">
        <v>277</v>
      </c>
      <c r="F705" s="18" t="s">
        <v>277</v>
      </c>
      <c r="I705" s="18" t="s">
        <v>277</v>
      </c>
      <c r="J705" s="18" t="s">
        <v>277</v>
      </c>
      <c r="K705" s="18" t="s">
        <v>277</v>
      </c>
    </row>
    <row r="706">
      <c r="D706" s="18" t="s">
        <v>277</v>
      </c>
      <c r="E706" s="18" t="s">
        <v>277</v>
      </c>
      <c r="F706" s="18" t="s">
        <v>277</v>
      </c>
      <c r="I706" s="18" t="s">
        <v>277</v>
      </c>
      <c r="J706" s="18" t="s">
        <v>277</v>
      </c>
      <c r="K706" s="18" t="s">
        <v>277</v>
      </c>
    </row>
    <row r="707">
      <c r="D707" s="18" t="s">
        <v>277</v>
      </c>
      <c r="E707" s="18" t="s">
        <v>277</v>
      </c>
      <c r="F707" s="18" t="s">
        <v>277</v>
      </c>
      <c r="I707" s="18" t="s">
        <v>277</v>
      </c>
      <c r="J707" s="18" t="s">
        <v>277</v>
      </c>
      <c r="K707" s="18" t="s">
        <v>277</v>
      </c>
    </row>
    <row r="708">
      <c r="D708" s="18" t="s">
        <v>277</v>
      </c>
      <c r="E708" s="18" t="s">
        <v>277</v>
      </c>
      <c r="F708" s="18" t="s">
        <v>277</v>
      </c>
      <c r="I708" s="18" t="s">
        <v>277</v>
      </c>
      <c r="J708" s="18" t="s">
        <v>277</v>
      </c>
      <c r="K708" s="18" t="s">
        <v>277</v>
      </c>
    </row>
    <row r="709">
      <c r="D709" s="18" t="s">
        <v>277</v>
      </c>
      <c r="E709" s="18" t="s">
        <v>277</v>
      </c>
      <c r="F709" s="18" t="s">
        <v>277</v>
      </c>
      <c r="I709" s="18" t="s">
        <v>277</v>
      </c>
      <c r="J709" s="18" t="s">
        <v>277</v>
      </c>
      <c r="K709" s="18" t="s">
        <v>277</v>
      </c>
    </row>
    <row r="710">
      <c r="D710" s="18" t="s">
        <v>277</v>
      </c>
      <c r="E710" s="18" t="s">
        <v>277</v>
      </c>
      <c r="F710" s="18" t="s">
        <v>277</v>
      </c>
      <c r="I710" s="18" t="s">
        <v>277</v>
      </c>
      <c r="J710" s="18" t="s">
        <v>277</v>
      </c>
      <c r="K710" s="18" t="s">
        <v>277</v>
      </c>
    </row>
    <row r="711">
      <c r="D711" s="18" t="s">
        <v>277</v>
      </c>
      <c r="E711" s="18" t="s">
        <v>277</v>
      </c>
      <c r="F711" s="18" t="s">
        <v>277</v>
      </c>
      <c r="I711" s="18" t="s">
        <v>277</v>
      </c>
      <c r="J711" s="18" t="s">
        <v>277</v>
      </c>
      <c r="K711" s="18" t="s">
        <v>277</v>
      </c>
    </row>
    <row r="712">
      <c r="D712" s="18" t="s">
        <v>277</v>
      </c>
      <c r="E712" s="18" t="s">
        <v>277</v>
      </c>
      <c r="F712" s="18" t="s">
        <v>277</v>
      </c>
      <c r="I712" s="18" t="s">
        <v>277</v>
      </c>
      <c r="J712" s="18" t="s">
        <v>277</v>
      </c>
      <c r="K712" s="18" t="s">
        <v>277</v>
      </c>
    </row>
    <row r="713">
      <c r="D713" s="18" t="s">
        <v>277</v>
      </c>
      <c r="E713" s="18" t="s">
        <v>277</v>
      </c>
      <c r="F713" s="18" t="s">
        <v>277</v>
      </c>
      <c r="I713" s="18" t="s">
        <v>277</v>
      </c>
      <c r="J713" s="18" t="s">
        <v>277</v>
      </c>
      <c r="K713" s="18" t="s">
        <v>277</v>
      </c>
    </row>
    <row r="714">
      <c r="D714" s="18" t="s">
        <v>277</v>
      </c>
      <c r="E714" s="18" t="s">
        <v>277</v>
      </c>
      <c r="F714" s="18" t="s">
        <v>277</v>
      </c>
      <c r="I714" s="18" t="s">
        <v>277</v>
      </c>
      <c r="J714" s="18" t="s">
        <v>277</v>
      </c>
      <c r="K714" s="18" t="s">
        <v>277</v>
      </c>
    </row>
    <row r="715">
      <c r="D715" s="18" t="s">
        <v>277</v>
      </c>
      <c r="E715" s="18" t="s">
        <v>277</v>
      </c>
      <c r="F715" s="18" t="s">
        <v>277</v>
      </c>
      <c r="I715" s="18" t="s">
        <v>277</v>
      </c>
      <c r="J715" s="18" t="s">
        <v>277</v>
      </c>
      <c r="K715" s="18" t="s">
        <v>277</v>
      </c>
    </row>
    <row r="716">
      <c r="D716" s="18" t="s">
        <v>277</v>
      </c>
      <c r="E716" s="18" t="s">
        <v>277</v>
      </c>
      <c r="F716" s="18" t="s">
        <v>277</v>
      </c>
      <c r="I716" s="18" t="s">
        <v>277</v>
      </c>
      <c r="J716" s="18" t="s">
        <v>277</v>
      </c>
      <c r="K716" s="18" t="s">
        <v>277</v>
      </c>
    </row>
    <row r="717">
      <c r="D717" s="18" t="s">
        <v>277</v>
      </c>
      <c r="E717" s="18" t="s">
        <v>277</v>
      </c>
      <c r="F717" s="18" t="s">
        <v>277</v>
      </c>
      <c r="I717" s="18" t="s">
        <v>277</v>
      </c>
      <c r="J717" s="18" t="s">
        <v>277</v>
      </c>
      <c r="K717" s="18" t="s">
        <v>277</v>
      </c>
    </row>
    <row r="718">
      <c r="D718" s="18" t="s">
        <v>277</v>
      </c>
      <c r="E718" s="18" t="s">
        <v>277</v>
      </c>
      <c r="F718" s="18" t="s">
        <v>277</v>
      </c>
      <c r="I718" s="18" t="s">
        <v>277</v>
      </c>
      <c r="J718" s="18" t="s">
        <v>277</v>
      </c>
      <c r="K718" s="18" t="s">
        <v>277</v>
      </c>
    </row>
    <row r="719">
      <c r="D719" s="18" t="s">
        <v>277</v>
      </c>
      <c r="E719" s="18" t="s">
        <v>277</v>
      </c>
      <c r="F719" s="18" t="s">
        <v>277</v>
      </c>
      <c r="I719" s="18" t="s">
        <v>277</v>
      </c>
      <c r="J719" s="18" t="s">
        <v>277</v>
      </c>
      <c r="K719" s="18" t="s">
        <v>277</v>
      </c>
    </row>
    <row r="720">
      <c r="D720" s="18" t="s">
        <v>277</v>
      </c>
      <c r="E720" s="18" t="s">
        <v>277</v>
      </c>
      <c r="F720" s="18" t="s">
        <v>277</v>
      </c>
      <c r="I720" s="18" t="s">
        <v>277</v>
      </c>
      <c r="J720" s="18" t="s">
        <v>277</v>
      </c>
      <c r="K720" s="18" t="s">
        <v>277</v>
      </c>
    </row>
    <row r="721">
      <c r="D721" s="18" t="s">
        <v>277</v>
      </c>
      <c r="E721" s="18" t="s">
        <v>277</v>
      </c>
      <c r="F721" s="18" t="s">
        <v>277</v>
      </c>
      <c r="I721" s="18" t="s">
        <v>277</v>
      </c>
      <c r="J721" s="18" t="s">
        <v>277</v>
      </c>
      <c r="K721" s="18" t="s">
        <v>277</v>
      </c>
    </row>
    <row r="722">
      <c r="D722" s="18" t="s">
        <v>277</v>
      </c>
      <c r="E722" s="18" t="s">
        <v>277</v>
      </c>
      <c r="F722" s="18" t="s">
        <v>277</v>
      </c>
      <c r="I722" s="18" t="s">
        <v>277</v>
      </c>
      <c r="J722" s="18" t="s">
        <v>277</v>
      </c>
      <c r="K722" s="18" t="s">
        <v>277</v>
      </c>
    </row>
    <row r="723">
      <c r="D723" s="18" t="s">
        <v>277</v>
      </c>
      <c r="E723" s="18" t="s">
        <v>277</v>
      </c>
      <c r="F723" s="18" t="s">
        <v>277</v>
      </c>
      <c r="I723" s="18" t="s">
        <v>277</v>
      </c>
      <c r="J723" s="18" t="s">
        <v>277</v>
      </c>
      <c r="K723" s="18" t="s">
        <v>277</v>
      </c>
    </row>
    <row r="724">
      <c r="D724" s="18" t="s">
        <v>277</v>
      </c>
      <c r="E724" s="18" t="s">
        <v>277</v>
      </c>
      <c r="F724" s="18" t="s">
        <v>277</v>
      </c>
      <c r="I724" s="18" t="s">
        <v>277</v>
      </c>
      <c r="J724" s="18" t="s">
        <v>277</v>
      </c>
      <c r="K724" s="18" t="s">
        <v>277</v>
      </c>
    </row>
    <row r="725">
      <c r="D725" s="18" t="s">
        <v>277</v>
      </c>
      <c r="E725" s="18" t="s">
        <v>277</v>
      </c>
      <c r="F725" s="18" t="s">
        <v>277</v>
      </c>
      <c r="I725" s="18" t="s">
        <v>277</v>
      </c>
      <c r="J725" s="18" t="s">
        <v>277</v>
      </c>
      <c r="K725" s="18" t="s">
        <v>277</v>
      </c>
    </row>
    <row r="726">
      <c r="D726" s="18" t="s">
        <v>277</v>
      </c>
      <c r="E726" s="18" t="s">
        <v>277</v>
      </c>
      <c r="F726" s="18" t="s">
        <v>277</v>
      </c>
      <c r="I726" s="18" t="s">
        <v>277</v>
      </c>
      <c r="J726" s="18" t="s">
        <v>277</v>
      </c>
      <c r="K726" s="18" t="s">
        <v>277</v>
      </c>
    </row>
    <row r="727">
      <c r="D727" s="18" t="s">
        <v>277</v>
      </c>
      <c r="E727" s="18" t="s">
        <v>277</v>
      </c>
      <c r="F727" s="18" t="s">
        <v>277</v>
      </c>
      <c r="I727" s="18" t="s">
        <v>277</v>
      </c>
      <c r="J727" s="18" t="s">
        <v>277</v>
      </c>
      <c r="K727" s="18" t="s">
        <v>277</v>
      </c>
    </row>
    <row r="728">
      <c r="D728" s="18" t="s">
        <v>277</v>
      </c>
      <c r="E728" s="18" t="s">
        <v>277</v>
      </c>
      <c r="F728" s="18" t="s">
        <v>277</v>
      </c>
      <c r="I728" s="18" t="s">
        <v>277</v>
      </c>
      <c r="J728" s="18" t="s">
        <v>277</v>
      </c>
      <c r="K728" s="18" t="s">
        <v>277</v>
      </c>
    </row>
    <row r="729">
      <c r="D729" s="18" t="s">
        <v>277</v>
      </c>
      <c r="E729" s="18" t="s">
        <v>277</v>
      </c>
      <c r="F729" s="18" t="s">
        <v>277</v>
      </c>
      <c r="I729" s="18" t="s">
        <v>277</v>
      </c>
      <c r="J729" s="18" t="s">
        <v>277</v>
      </c>
      <c r="K729" s="18" t="s">
        <v>277</v>
      </c>
    </row>
    <row r="730">
      <c r="D730" s="18" t="s">
        <v>277</v>
      </c>
      <c r="E730" s="18" t="s">
        <v>277</v>
      </c>
      <c r="F730" s="18" t="s">
        <v>277</v>
      </c>
      <c r="I730" s="18" t="s">
        <v>277</v>
      </c>
      <c r="J730" s="18" t="s">
        <v>277</v>
      </c>
      <c r="K730" s="18" t="s">
        <v>277</v>
      </c>
    </row>
    <row r="731">
      <c r="D731" s="18" t="s">
        <v>277</v>
      </c>
      <c r="E731" s="18" t="s">
        <v>277</v>
      </c>
      <c r="F731" s="18" t="s">
        <v>277</v>
      </c>
      <c r="I731" s="18" t="s">
        <v>277</v>
      </c>
      <c r="J731" s="18" t="s">
        <v>277</v>
      </c>
      <c r="K731" s="18" t="s">
        <v>277</v>
      </c>
    </row>
    <row r="732">
      <c r="D732" s="18" t="s">
        <v>277</v>
      </c>
      <c r="E732" s="18" t="s">
        <v>277</v>
      </c>
      <c r="F732" s="18" t="s">
        <v>277</v>
      </c>
      <c r="I732" s="18" t="s">
        <v>277</v>
      </c>
      <c r="J732" s="18" t="s">
        <v>277</v>
      </c>
      <c r="K732" s="18" t="s">
        <v>277</v>
      </c>
    </row>
    <row r="733">
      <c r="D733" s="18" t="s">
        <v>277</v>
      </c>
      <c r="E733" s="18" t="s">
        <v>277</v>
      </c>
      <c r="F733" s="18" t="s">
        <v>277</v>
      </c>
      <c r="I733" s="18" t="s">
        <v>277</v>
      </c>
      <c r="J733" s="18" t="s">
        <v>277</v>
      </c>
      <c r="K733" s="18" t="s">
        <v>277</v>
      </c>
    </row>
    <row r="734">
      <c r="D734" s="18" t="s">
        <v>277</v>
      </c>
      <c r="E734" s="18" t="s">
        <v>277</v>
      </c>
      <c r="F734" s="18" t="s">
        <v>277</v>
      </c>
      <c r="I734" s="18" t="s">
        <v>277</v>
      </c>
      <c r="J734" s="18" t="s">
        <v>277</v>
      </c>
      <c r="K734" s="18" t="s">
        <v>277</v>
      </c>
    </row>
    <row r="735">
      <c r="D735" s="18" t="s">
        <v>277</v>
      </c>
      <c r="E735" s="18" t="s">
        <v>277</v>
      </c>
      <c r="F735" s="18" t="s">
        <v>277</v>
      </c>
      <c r="I735" s="18" t="s">
        <v>277</v>
      </c>
      <c r="J735" s="18" t="s">
        <v>277</v>
      </c>
      <c r="K735" s="18" t="s">
        <v>277</v>
      </c>
    </row>
    <row r="736">
      <c r="D736" s="18" t="s">
        <v>277</v>
      </c>
      <c r="E736" s="18" t="s">
        <v>277</v>
      </c>
      <c r="F736" s="18" t="s">
        <v>277</v>
      </c>
      <c r="I736" s="18" t="s">
        <v>277</v>
      </c>
      <c r="J736" s="18" t="s">
        <v>277</v>
      </c>
      <c r="K736" s="18" t="s">
        <v>277</v>
      </c>
    </row>
    <row r="737">
      <c r="D737" s="18" t="s">
        <v>277</v>
      </c>
      <c r="E737" s="18" t="s">
        <v>277</v>
      </c>
      <c r="F737" s="18" t="s">
        <v>277</v>
      </c>
      <c r="I737" s="18" t="s">
        <v>277</v>
      </c>
      <c r="J737" s="18" t="s">
        <v>277</v>
      </c>
      <c r="K737" s="18" t="s">
        <v>277</v>
      </c>
    </row>
    <row r="738">
      <c r="D738" s="18" t="s">
        <v>277</v>
      </c>
      <c r="E738" s="18" t="s">
        <v>277</v>
      </c>
      <c r="F738" s="18" t="s">
        <v>277</v>
      </c>
      <c r="I738" s="18" t="s">
        <v>277</v>
      </c>
      <c r="J738" s="18" t="s">
        <v>277</v>
      </c>
      <c r="K738" s="18" t="s">
        <v>277</v>
      </c>
    </row>
    <row r="739">
      <c r="D739" s="18" t="s">
        <v>277</v>
      </c>
      <c r="E739" s="18" t="s">
        <v>277</v>
      </c>
      <c r="F739" s="18" t="s">
        <v>277</v>
      </c>
      <c r="I739" s="18" t="s">
        <v>277</v>
      </c>
      <c r="J739" s="18" t="s">
        <v>277</v>
      </c>
      <c r="K739" s="18" t="s">
        <v>277</v>
      </c>
    </row>
    <row r="740">
      <c r="D740" s="18" t="s">
        <v>277</v>
      </c>
      <c r="E740" s="18" t="s">
        <v>277</v>
      </c>
      <c r="F740" s="18" t="s">
        <v>277</v>
      </c>
      <c r="I740" s="18" t="s">
        <v>277</v>
      </c>
      <c r="J740" s="18" t="s">
        <v>277</v>
      </c>
      <c r="K740" s="18" t="s">
        <v>277</v>
      </c>
    </row>
    <row r="741">
      <c r="D741" s="18" t="s">
        <v>277</v>
      </c>
      <c r="E741" s="18" t="s">
        <v>277</v>
      </c>
      <c r="F741" s="18" t="s">
        <v>277</v>
      </c>
      <c r="I741" s="18" t="s">
        <v>277</v>
      </c>
      <c r="J741" s="18" t="s">
        <v>277</v>
      </c>
      <c r="K741" s="18" t="s">
        <v>277</v>
      </c>
    </row>
    <row r="742">
      <c r="D742" s="18" t="s">
        <v>277</v>
      </c>
      <c r="E742" s="18" t="s">
        <v>277</v>
      </c>
      <c r="F742" s="18" t="s">
        <v>277</v>
      </c>
      <c r="I742" s="18" t="s">
        <v>277</v>
      </c>
      <c r="J742" s="18" t="s">
        <v>277</v>
      </c>
      <c r="K742" s="18" t="s">
        <v>277</v>
      </c>
    </row>
    <row r="743">
      <c r="D743" s="18" t="s">
        <v>277</v>
      </c>
      <c r="E743" s="18" t="s">
        <v>277</v>
      </c>
      <c r="F743" s="18" t="s">
        <v>277</v>
      </c>
      <c r="I743" s="18" t="s">
        <v>277</v>
      </c>
      <c r="J743" s="18" t="s">
        <v>277</v>
      </c>
      <c r="K743" s="18" t="s">
        <v>277</v>
      </c>
    </row>
    <row r="744">
      <c r="D744" s="18" t="s">
        <v>277</v>
      </c>
      <c r="E744" s="18" t="s">
        <v>277</v>
      </c>
      <c r="F744" s="18" t="s">
        <v>277</v>
      </c>
      <c r="I744" s="18" t="s">
        <v>277</v>
      </c>
      <c r="J744" s="18" t="s">
        <v>277</v>
      </c>
      <c r="K744" s="18" t="s">
        <v>277</v>
      </c>
    </row>
    <row r="745">
      <c r="D745" s="18" t="s">
        <v>277</v>
      </c>
      <c r="E745" s="18" t="s">
        <v>277</v>
      </c>
      <c r="F745" s="18" t="s">
        <v>277</v>
      </c>
      <c r="I745" s="18" t="s">
        <v>277</v>
      </c>
      <c r="J745" s="18" t="s">
        <v>277</v>
      </c>
      <c r="K745" s="18" t="s">
        <v>277</v>
      </c>
    </row>
    <row r="746">
      <c r="D746" s="18" t="s">
        <v>277</v>
      </c>
      <c r="E746" s="18" t="s">
        <v>277</v>
      </c>
      <c r="F746" s="18" t="s">
        <v>277</v>
      </c>
      <c r="I746" s="18" t="s">
        <v>277</v>
      </c>
      <c r="J746" s="18" t="s">
        <v>277</v>
      </c>
      <c r="K746" s="18" t="s">
        <v>277</v>
      </c>
    </row>
    <row r="747">
      <c r="D747" s="18" t="s">
        <v>277</v>
      </c>
      <c r="E747" s="18" t="s">
        <v>277</v>
      </c>
      <c r="F747" s="18" t="s">
        <v>277</v>
      </c>
      <c r="I747" s="18" t="s">
        <v>277</v>
      </c>
      <c r="J747" s="18" t="s">
        <v>277</v>
      </c>
      <c r="K747" s="18" t="s">
        <v>277</v>
      </c>
    </row>
    <row r="748">
      <c r="D748" s="18" t="s">
        <v>277</v>
      </c>
      <c r="E748" s="18" t="s">
        <v>277</v>
      </c>
      <c r="F748" s="18" t="s">
        <v>277</v>
      </c>
      <c r="I748" s="18" t="s">
        <v>277</v>
      </c>
      <c r="J748" s="18" t="s">
        <v>277</v>
      </c>
      <c r="K748" s="18" t="s">
        <v>277</v>
      </c>
    </row>
    <row r="749">
      <c r="D749" s="18" t="s">
        <v>277</v>
      </c>
      <c r="E749" s="18" t="s">
        <v>277</v>
      </c>
      <c r="F749" s="18" t="s">
        <v>277</v>
      </c>
      <c r="I749" s="18" t="s">
        <v>277</v>
      </c>
      <c r="J749" s="18" t="s">
        <v>277</v>
      </c>
      <c r="K749" s="18" t="s">
        <v>277</v>
      </c>
    </row>
    <row r="750">
      <c r="D750" s="18" t="s">
        <v>277</v>
      </c>
      <c r="E750" s="18" t="s">
        <v>277</v>
      </c>
      <c r="F750" s="18" t="s">
        <v>277</v>
      </c>
      <c r="I750" s="18" t="s">
        <v>277</v>
      </c>
      <c r="J750" s="18" t="s">
        <v>277</v>
      </c>
      <c r="K750" s="18" t="s">
        <v>277</v>
      </c>
    </row>
    <row r="751">
      <c r="D751" s="18" t="s">
        <v>277</v>
      </c>
      <c r="E751" s="18" t="s">
        <v>277</v>
      </c>
      <c r="F751" s="18" t="s">
        <v>277</v>
      </c>
      <c r="I751" s="18" t="s">
        <v>277</v>
      </c>
      <c r="J751" s="18" t="s">
        <v>277</v>
      </c>
      <c r="K751" s="18" t="s">
        <v>277</v>
      </c>
    </row>
    <row r="752">
      <c r="D752" s="18" t="s">
        <v>277</v>
      </c>
      <c r="E752" s="18" t="s">
        <v>277</v>
      </c>
      <c r="F752" s="18" t="s">
        <v>277</v>
      </c>
      <c r="I752" s="18" t="s">
        <v>277</v>
      </c>
      <c r="J752" s="18" t="s">
        <v>277</v>
      </c>
      <c r="K752" s="18" t="s">
        <v>277</v>
      </c>
    </row>
    <row r="753">
      <c r="D753" s="18" t="s">
        <v>277</v>
      </c>
      <c r="E753" s="18" t="s">
        <v>277</v>
      </c>
      <c r="F753" s="18" t="s">
        <v>277</v>
      </c>
      <c r="I753" s="18" t="s">
        <v>277</v>
      </c>
      <c r="J753" s="18" t="s">
        <v>277</v>
      </c>
      <c r="K753" s="18" t="s">
        <v>277</v>
      </c>
    </row>
    <row r="754">
      <c r="D754" s="18" t="s">
        <v>277</v>
      </c>
      <c r="E754" s="18" t="s">
        <v>277</v>
      </c>
      <c r="F754" s="18" t="s">
        <v>277</v>
      </c>
      <c r="I754" s="18" t="s">
        <v>277</v>
      </c>
      <c r="J754" s="18" t="s">
        <v>277</v>
      </c>
      <c r="K754" s="18" t="s">
        <v>277</v>
      </c>
    </row>
    <row r="755">
      <c r="D755" s="18" t="s">
        <v>277</v>
      </c>
      <c r="E755" s="18" t="s">
        <v>277</v>
      </c>
      <c r="F755" s="18" t="s">
        <v>277</v>
      </c>
      <c r="I755" s="18" t="s">
        <v>277</v>
      </c>
      <c r="J755" s="18" t="s">
        <v>277</v>
      </c>
      <c r="K755" s="18" t="s">
        <v>277</v>
      </c>
    </row>
    <row r="756">
      <c r="D756" s="18" t="s">
        <v>277</v>
      </c>
      <c r="E756" s="18" t="s">
        <v>277</v>
      </c>
      <c r="F756" s="18" t="s">
        <v>277</v>
      </c>
      <c r="I756" s="18" t="s">
        <v>277</v>
      </c>
      <c r="J756" s="18" t="s">
        <v>277</v>
      </c>
      <c r="K756" s="18" t="s">
        <v>277</v>
      </c>
    </row>
    <row r="757">
      <c r="D757" s="18" t="s">
        <v>277</v>
      </c>
      <c r="E757" s="18" t="s">
        <v>277</v>
      </c>
      <c r="F757" s="18" t="s">
        <v>277</v>
      </c>
      <c r="I757" s="18" t="s">
        <v>277</v>
      </c>
      <c r="J757" s="18" t="s">
        <v>277</v>
      </c>
      <c r="K757" s="18" t="s">
        <v>277</v>
      </c>
    </row>
    <row r="758">
      <c r="D758" s="18" t="s">
        <v>277</v>
      </c>
      <c r="E758" s="18" t="s">
        <v>277</v>
      </c>
      <c r="F758" s="18" t="s">
        <v>277</v>
      </c>
      <c r="I758" s="18" t="s">
        <v>277</v>
      </c>
      <c r="J758" s="18" t="s">
        <v>277</v>
      </c>
      <c r="K758" s="18" t="s">
        <v>277</v>
      </c>
    </row>
    <row r="759">
      <c r="D759" s="18" t="s">
        <v>277</v>
      </c>
      <c r="E759" s="18" t="s">
        <v>277</v>
      </c>
      <c r="F759" s="18" t="s">
        <v>277</v>
      </c>
      <c r="I759" s="18" t="s">
        <v>277</v>
      </c>
      <c r="J759" s="18" t="s">
        <v>277</v>
      </c>
      <c r="K759" s="18" t="s">
        <v>277</v>
      </c>
    </row>
    <row r="760">
      <c r="D760" s="18" t="s">
        <v>277</v>
      </c>
      <c r="E760" s="18" t="s">
        <v>277</v>
      </c>
      <c r="F760" s="18" t="s">
        <v>277</v>
      </c>
      <c r="I760" s="18" t="s">
        <v>277</v>
      </c>
      <c r="J760" s="18" t="s">
        <v>277</v>
      </c>
      <c r="K760" s="18" t="s">
        <v>277</v>
      </c>
    </row>
    <row r="761">
      <c r="D761" s="18" t="s">
        <v>277</v>
      </c>
      <c r="E761" s="18" t="s">
        <v>277</v>
      </c>
      <c r="F761" s="18" t="s">
        <v>277</v>
      </c>
      <c r="I761" s="18" t="s">
        <v>277</v>
      </c>
      <c r="J761" s="18" t="s">
        <v>277</v>
      </c>
      <c r="K761" s="18" t="s">
        <v>277</v>
      </c>
    </row>
    <row r="762">
      <c r="D762" s="18" t="s">
        <v>277</v>
      </c>
      <c r="E762" s="18" t="s">
        <v>277</v>
      </c>
      <c r="F762" s="18" t="s">
        <v>277</v>
      </c>
      <c r="I762" s="18" t="s">
        <v>277</v>
      </c>
      <c r="J762" s="18" t="s">
        <v>277</v>
      </c>
      <c r="K762" s="18" t="s">
        <v>277</v>
      </c>
    </row>
    <row r="763">
      <c r="D763" s="18" t="s">
        <v>277</v>
      </c>
      <c r="E763" s="18" t="s">
        <v>277</v>
      </c>
      <c r="F763" s="18" t="s">
        <v>277</v>
      </c>
      <c r="I763" s="18" t="s">
        <v>277</v>
      </c>
      <c r="J763" s="18" t="s">
        <v>277</v>
      </c>
      <c r="K763" s="18" t="s">
        <v>277</v>
      </c>
    </row>
    <row r="764">
      <c r="D764" s="18" t="s">
        <v>277</v>
      </c>
      <c r="E764" s="18" t="s">
        <v>277</v>
      </c>
      <c r="F764" s="18" t="s">
        <v>277</v>
      </c>
      <c r="I764" s="18" t="s">
        <v>277</v>
      </c>
      <c r="J764" s="18" t="s">
        <v>277</v>
      </c>
      <c r="K764" s="18" t="s">
        <v>277</v>
      </c>
    </row>
    <row r="765">
      <c r="D765" s="18" t="s">
        <v>277</v>
      </c>
      <c r="E765" s="18" t="s">
        <v>277</v>
      </c>
      <c r="F765" s="18" t="s">
        <v>277</v>
      </c>
      <c r="I765" s="18" t="s">
        <v>277</v>
      </c>
      <c r="J765" s="18" t="s">
        <v>277</v>
      </c>
      <c r="K765" s="18" t="s">
        <v>277</v>
      </c>
    </row>
    <row r="766">
      <c r="D766" s="18" t="s">
        <v>277</v>
      </c>
      <c r="E766" s="18" t="s">
        <v>277</v>
      </c>
      <c r="F766" s="18" t="s">
        <v>277</v>
      </c>
      <c r="I766" s="18" t="s">
        <v>277</v>
      </c>
      <c r="J766" s="18" t="s">
        <v>277</v>
      </c>
      <c r="K766" s="18" t="s">
        <v>277</v>
      </c>
    </row>
    <row r="767">
      <c r="D767" s="18" t="s">
        <v>277</v>
      </c>
      <c r="E767" s="18" t="s">
        <v>277</v>
      </c>
      <c r="F767" s="18" t="s">
        <v>277</v>
      </c>
      <c r="I767" s="18" t="s">
        <v>277</v>
      </c>
      <c r="J767" s="18" t="s">
        <v>277</v>
      </c>
      <c r="K767" s="18" t="s">
        <v>277</v>
      </c>
    </row>
    <row r="768">
      <c r="D768" s="18" t="s">
        <v>277</v>
      </c>
      <c r="E768" s="18" t="s">
        <v>277</v>
      </c>
      <c r="F768" s="18" t="s">
        <v>277</v>
      </c>
      <c r="I768" s="18" t="s">
        <v>277</v>
      </c>
      <c r="J768" s="18" t="s">
        <v>277</v>
      </c>
      <c r="K768" s="18" t="s">
        <v>277</v>
      </c>
    </row>
    <row r="769">
      <c r="D769" s="18" t="s">
        <v>277</v>
      </c>
      <c r="E769" s="18" t="s">
        <v>277</v>
      </c>
      <c r="F769" s="18" t="s">
        <v>277</v>
      </c>
      <c r="I769" s="18" t="s">
        <v>277</v>
      </c>
      <c r="J769" s="18" t="s">
        <v>277</v>
      </c>
      <c r="K769" s="18" t="s">
        <v>277</v>
      </c>
    </row>
    <row r="770">
      <c r="D770" s="18" t="s">
        <v>277</v>
      </c>
      <c r="E770" s="18" t="s">
        <v>277</v>
      </c>
      <c r="F770" s="18" t="s">
        <v>277</v>
      </c>
      <c r="I770" s="18" t="s">
        <v>277</v>
      </c>
      <c r="J770" s="18" t="s">
        <v>277</v>
      </c>
      <c r="K770" s="18" t="s">
        <v>277</v>
      </c>
    </row>
    <row r="771">
      <c r="D771" s="18" t="s">
        <v>277</v>
      </c>
      <c r="E771" s="18" t="s">
        <v>277</v>
      </c>
      <c r="F771" s="18" t="s">
        <v>277</v>
      </c>
      <c r="I771" s="18" t="s">
        <v>277</v>
      </c>
      <c r="J771" s="18" t="s">
        <v>277</v>
      </c>
      <c r="K771" s="18" t="s">
        <v>277</v>
      </c>
    </row>
    <row r="772">
      <c r="D772" s="18" t="s">
        <v>277</v>
      </c>
      <c r="E772" s="18" t="s">
        <v>277</v>
      </c>
      <c r="F772" s="18" t="s">
        <v>277</v>
      </c>
      <c r="I772" s="18" t="s">
        <v>277</v>
      </c>
      <c r="J772" s="18" t="s">
        <v>277</v>
      </c>
      <c r="K772" s="18" t="s">
        <v>277</v>
      </c>
    </row>
    <row r="773">
      <c r="D773" s="18" t="s">
        <v>277</v>
      </c>
      <c r="E773" s="18" t="s">
        <v>277</v>
      </c>
      <c r="F773" s="18" t="s">
        <v>277</v>
      </c>
      <c r="I773" s="18" t="s">
        <v>277</v>
      </c>
      <c r="J773" s="18" t="s">
        <v>277</v>
      </c>
      <c r="K773" s="18" t="s">
        <v>277</v>
      </c>
    </row>
    <row r="774">
      <c r="D774" s="18" t="s">
        <v>277</v>
      </c>
      <c r="E774" s="18" t="s">
        <v>277</v>
      </c>
      <c r="F774" s="18" t="s">
        <v>277</v>
      </c>
      <c r="I774" s="18" t="s">
        <v>277</v>
      </c>
      <c r="J774" s="18" t="s">
        <v>277</v>
      </c>
      <c r="K774" s="18" t="s">
        <v>277</v>
      </c>
    </row>
    <row r="775">
      <c r="D775" s="18" t="s">
        <v>277</v>
      </c>
      <c r="E775" s="18" t="s">
        <v>277</v>
      </c>
      <c r="F775" s="18" t="s">
        <v>277</v>
      </c>
      <c r="I775" s="18" t="s">
        <v>277</v>
      </c>
      <c r="J775" s="18" t="s">
        <v>277</v>
      </c>
      <c r="K775" s="18" t="s">
        <v>277</v>
      </c>
    </row>
    <row r="776">
      <c r="D776" s="18" t="s">
        <v>277</v>
      </c>
      <c r="E776" s="18" t="s">
        <v>277</v>
      </c>
      <c r="F776" s="18" t="s">
        <v>277</v>
      </c>
      <c r="I776" s="18" t="s">
        <v>277</v>
      </c>
      <c r="J776" s="18" t="s">
        <v>277</v>
      </c>
      <c r="K776" s="18" t="s">
        <v>277</v>
      </c>
    </row>
    <row r="777">
      <c r="D777" s="18" t="s">
        <v>277</v>
      </c>
      <c r="E777" s="18" t="s">
        <v>277</v>
      </c>
      <c r="F777" s="18" t="s">
        <v>277</v>
      </c>
      <c r="I777" s="18" t="s">
        <v>277</v>
      </c>
      <c r="J777" s="18" t="s">
        <v>277</v>
      </c>
      <c r="K777" s="18" t="s">
        <v>277</v>
      </c>
    </row>
    <row r="778">
      <c r="D778" s="18" t="s">
        <v>277</v>
      </c>
      <c r="E778" s="18" t="s">
        <v>277</v>
      </c>
      <c r="F778" s="18" t="s">
        <v>277</v>
      </c>
      <c r="I778" s="18" t="s">
        <v>277</v>
      </c>
      <c r="J778" s="18" t="s">
        <v>277</v>
      </c>
      <c r="K778" s="18" t="s">
        <v>277</v>
      </c>
    </row>
    <row r="779">
      <c r="D779" s="18" t="s">
        <v>277</v>
      </c>
      <c r="E779" s="18" t="s">
        <v>277</v>
      </c>
      <c r="F779" s="18" t="s">
        <v>277</v>
      </c>
      <c r="I779" s="18" t="s">
        <v>277</v>
      </c>
      <c r="J779" s="18" t="s">
        <v>277</v>
      </c>
      <c r="K779" s="18" t="s">
        <v>277</v>
      </c>
    </row>
    <row r="780">
      <c r="D780" s="18" t="s">
        <v>277</v>
      </c>
      <c r="E780" s="18" t="s">
        <v>277</v>
      </c>
      <c r="F780" s="18" t="s">
        <v>277</v>
      </c>
      <c r="I780" s="18" t="s">
        <v>277</v>
      </c>
      <c r="J780" s="18" t="s">
        <v>277</v>
      </c>
      <c r="K780" s="18" t="s">
        <v>277</v>
      </c>
    </row>
    <row r="781">
      <c r="D781" s="18" t="s">
        <v>277</v>
      </c>
      <c r="E781" s="18" t="s">
        <v>277</v>
      </c>
      <c r="F781" s="18" t="s">
        <v>277</v>
      </c>
      <c r="I781" s="18" t="s">
        <v>277</v>
      </c>
      <c r="J781" s="18" t="s">
        <v>277</v>
      </c>
      <c r="K781" s="18" t="s">
        <v>277</v>
      </c>
    </row>
    <row r="782">
      <c r="D782" s="18" t="s">
        <v>277</v>
      </c>
      <c r="E782" s="18" t="s">
        <v>277</v>
      </c>
      <c r="F782" s="18" t="s">
        <v>277</v>
      </c>
      <c r="I782" s="18" t="s">
        <v>277</v>
      </c>
      <c r="J782" s="18" t="s">
        <v>277</v>
      </c>
      <c r="K782" s="18" t="s">
        <v>277</v>
      </c>
    </row>
    <row r="783">
      <c r="D783" s="18" t="s">
        <v>277</v>
      </c>
      <c r="E783" s="18" t="s">
        <v>277</v>
      </c>
      <c r="F783" s="18" t="s">
        <v>277</v>
      </c>
      <c r="I783" s="18" t="s">
        <v>277</v>
      </c>
      <c r="J783" s="18" t="s">
        <v>277</v>
      </c>
      <c r="K783" s="18" t="s">
        <v>277</v>
      </c>
    </row>
    <row r="784">
      <c r="D784" s="18" t="s">
        <v>277</v>
      </c>
      <c r="E784" s="18" t="s">
        <v>277</v>
      </c>
      <c r="F784" s="18" t="s">
        <v>277</v>
      </c>
      <c r="I784" s="18" t="s">
        <v>277</v>
      </c>
      <c r="J784" s="18" t="s">
        <v>277</v>
      </c>
      <c r="K784" s="18" t="s">
        <v>277</v>
      </c>
    </row>
    <row r="785">
      <c r="D785" s="18" t="s">
        <v>277</v>
      </c>
      <c r="E785" s="18" t="s">
        <v>277</v>
      </c>
      <c r="F785" s="18" t="s">
        <v>277</v>
      </c>
      <c r="I785" s="18" t="s">
        <v>277</v>
      </c>
      <c r="J785" s="18" t="s">
        <v>277</v>
      </c>
      <c r="K785" s="18" t="s">
        <v>277</v>
      </c>
    </row>
    <row r="786">
      <c r="D786" s="18" t="s">
        <v>277</v>
      </c>
      <c r="E786" s="18" t="s">
        <v>277</v>
      </c>
      <c r="F786" s="18" t="s">
        <v>277</v>
      </c>
      <c r="I786" s="18" t="s">
        <v>277</v>
      </c>
      <c r="J786" s="18" t="s">
        <v>277</v>
      </c>
      <c r="K786" s="18" t="s">
        <v>277</v>
      </c>
    </row>
    <row r="787">
      <c r="D787" s="18" t="s">
        <v>277</v>
      </c>
      <c r="E787" s="18" t="s">
        <v>277</v>
      </c>
      <c r="F787" s="18" t="s">
        <v>277</v>
      </c>
      <c r="I787" s="18" t="s">
        <v>277</v>
      </c>
      <c r="J787" s="18" t="s">
        <v>277</v>
      </c>
      <c r="K787" s="18" t="s">
        <v>277</v>
      </c>
    </row>
    <row r="788">
      <c r="D788" s="18" t="s">
        <v>277</v>
      </c>
      <c r="E788" s="18" t="s">
        <v>277</v>
      </c>
      <c r="F788" s="18" t="s">
        <v>277</v>
      </c>
      <c r="I788" s="18" t="s">
        <v>277</v>
      </c>
      <c r="J788" s="18" t="s">
        <v>277</v>
      </c>
      <c r="K788" s="18" t="s">
        <v>277</v>
      </c>
    </row>
    <row r="789">
      <c r="D789" s="18" t="s">
        <v>277</v>
      </c>
      <c r="E789" s="18" t="s">
        <v>277</v>
      </c>
      <c r="F789" s="18" t="s">
        <v>277</v>
      </c>
      <c r="I789" s="18" t="s">
        <v>277</v>
      </c>
      <c r="J789" s="18" t="s">
        <v>277</v>
      </c>
      <c r="K789" s="18" t="s">
        <v>277</v>
      </c>
    </row>
    <row r="790">
      <c r="D790" s="18" t="s">
        <v>277</v>
      </c>
      <c r="E790" s="18" t="s">
        <v>277</v>
      </c>
      <c r="F790" s="18" t="s">
        <v>277</v>
      </c>
      <c r="I790" s="18" t="s">
        <v>277</v>
      </c>
      <c r="J790" s="18" t="s">
        <v>277</v>
      </c>
      <c r="K790" s="18" t="s">
        <v>277</v>
      </c>
    </row>
    <row r="791">
      <c r="D791" s="18" t="s">
        <v>277</v>
      </c>
      <c r="E791" s="18" t="s">
        <v>277</v>
      </c>
      <c r="F791" s="18" t="s">
        <v>277</v>
      </c>
      <c r="I791" s="18" t="s">
        <v>277</v>
      </c>
      <c r="J791" s="18" t="s">
        <v>277</v>
      </c>
      <c r="K791" s="18" t="s">
        <v>277</v>
      </c>
    </row>
    <row r="792">
      <c r="D792" s="18" t="s">
        <v>277</v>
      </c>
      <c r="E792" s="18" t="s">
        <v>277</v>
      </c>
      <c r="F792" s="18" t="s">
        <v>277</v>
      </c>
      <c r="I792" s="18" t="s">
        <v>277</v>
      </c>
      <c r="J792" s="18" t="s">
        <v>277</v>
      </c>
      <c r="K792" s="18" t="s">
        <v>277</v>
      </c>
    </row>
    <row r="793">
      <c r="D793" s="18" t="s">
        <v>277</v>
      </c>
      <c r="E793" s="18" t="s">
        <v>277</v>
      </c>
      <c r="F793" s="18" t="s">
        <v>277</v>
      </c>
      <c r="I793" s="18" t="s">
        <v>277</v>
      </c>
      <c r="J793" s="18" t="s">
        <v>277</v>
      </c>
      <c r="K793" s="18" t="s">
        <v>277</v>
      </c>
    </row>
    <row r="794">
      <c r="D794" s="18" t="s">
        <v>277</v>
      </c>
      <c r="E794" s="18" t="s">
        <v>277</v>
      </c>
      <c r="F794" s="18" t="s">
        <v>277</v>
      </c>
      <c r="I794" s="18" t="s">
        <v>277</v>
      </c>
      <c r="J794" s="18" t="s">
        <v>277</v>
      </c>
      <c r="K794" s="18" t="s">
        <v>277</v>
      </c>
    </row>
    <row r="795">
      <c r="D795" s="18" t="s">
        <v>277</v>
      </c>
      <c r="E795" s="18" t="s">
        <v>277</v>
      </c>
      <c r="F795" s="18" t="s">
        <v>277</v>
      </c>
      <c r="I795" s="18" t="s">
        <v>277</v>
      </c>
      <c r="J795" s="18" t="s">
        <v>277</v>
      </c>
      <c r="K795" s="18" t="s">
        <v>277</v>
      </c>
    </row>
    <row r="796">
      <c r="D796" s="18" t="s">
        <v>277</v>
      </c>
      <c r="E796" s="18" t="s">
        <v>277</v>
      </c>
      <c r="F796" s="18" t="s">
        <v>277</v>
      </c>
      <c r="I796" s="18" t="s">
        <v>277</v>
      </c>
      <c r="J796" s="18" t="s">
        <v>277</v>
      </c>
      <c r="K796" s="18" t="s">
        <v>277</v>
      </c>
    </row>
    <row r="797">
      <c r="D797" s="18" t="s">
        <v>277</v>
      </c>
      <c r="E797" s="18" t="s">
        <v>277</v>
      </c>
      <c r="F797" s="18" t="s">
        <v>277</v>
      </c>
      <c r="I797" s="18" t="s">
        <v>277</v>
      </c>
      <c r="J797" s="18" t="s">
        <v>277</v>
      </c>
      <c r="K797" s="18" t="s">
        <v>277</v>
      </c>
    </row>
    <row r="798">
      <c r="D798" s="18" t="s">
        <v>277</v>
      </c>
      <c r="E798" s="18" t="s">
        <v>277</v>
      </c>
      <c r="F798" s="18" t="s">
        <v>277</v>
      </c>
      <c r="I798" s="18" t="s">
        <v>277</v>
      </c>
      <c r="J798" s="18" t="s">
        <v>277</v>
      </c>
      <c r="K798" s="18" t="s">
        <v>277</v>
      </c>
    </row>
    <row r="799">
      <c r="D799" s="18" t="s">
        <v>277</v>
      </c>
      <c r="E799" s="18" t="s">
        <v>277</v>
      </c>
      <c r="F799" s="18" t="s">
        <v>277</v>
      </c>
      <c r="I799" s="18" t="s">
        <v>277</v>
      </c>
      <c r="J799" s="18" t="s">
        <v>277</v>
      </c>
      <c r="K799" s="18" t="s">
        <v>277</v>
      </c>
    </row>
    <row r="800">
      <c r="D800" s="18" t="s">
        <v>277</v>
      </c>
      <c r="E800" s="18" t="s">
        <v>277</v>
      </c>
      <c r="F800" s="18" t="s">
        <v>277</v>
      </c>
      <c r="I800" s="18" t="s">
        <v>277</v>
      </c>
      <c r="J800" s="18" t="s">
        <v>277</v>
      </c>
      <c r="K800" s="18" t="s">
        <v>277</v>
      </c>
    </row>
    <row r="801">
      <c r="D801" s="18" t="s">
        <v>277</v>
      </c>
      <c r="E801" s="18" t="s">
        <v>277</v>
      </c>
      <c r="F801" s="18" t="s">
        <v>277</v>
      </c>
      <c r="I801" s="18" t="s">
        <v>277</v>
      </c>
      <c r="J801" s="18" t="s">
        <v>277</v>
      </c>
      <c r="K801" s="18" t="s">
        <v>277</v>
      </c>
    </row>
    <row r="802">
      <c r="D802" s="18" t="s">
        <v>277</v>
      </c>
      <c r="E802" s="18" t="s">
        <v>277</v>
      </c>
      <c r="F802" s="18" t="s">
        <v>277</v>
      </c>
      <c r="I802" s="18" t="s">
        <v>277</v>
      </c>
      <c r="J802" s="18" t="s">
        <v>277</v>
      </c>
      <c r="K802" s="18" t="s">
        <v>277</v>
      </c>
    </row>
    <row r="803">
      <c r="D803" s="18" t="s">
        <v>277</v>
      </c>
      <c r="E803" s="18" t="s">
        <v>277</v>
      </c>
      <c r="F803" s="18" t="s">
        <v>277</v>
      </c>
      <c r="I803" s="18" t="s">
        <v>277</v>
      </c>
      <c r="J803" s="18" t="s">
        <v>277</v>
      </c>
      <c r="K803" s="18" t="s">
        <v>277</v>
      </c>
    </row>
    <row r="804">
      <c r="D804" s="18" t="s">
        <v>277</v>
      </c>
      <c r="E804" s="18" t="s">
        <v>277</v>
      </c>
      <c r="F804" s="18" t="s">
        <v>277</v>
      </c>
      <c r="I804" s="18" t="s">
        <v>277</v>
      </c>
      <c r="J804" s="18" t="s">
        <v>277</v>
      </c>
      <c r="K804" s="18" t="s">
        <v>277</v>
      </c>
    </row>
    <row r="805">
      <c r="D805" s="18" t="s">
        <v>277</v>
      </c>
      <c r="E805" s="18" t="s">
        <v>277</v>
      </c>
      <c r="F805" s="18" t="s">
        <v>277</v>
      </c>
      <c r="I805" s="18" t="s">
        <v>277</v>
      </c>
      <c r="J805" s="18" t="s">
        <v>277</v>
      </c>
      <c r="K805" s="18" t="s">
        <v>277</v>
      </c>
    </row>
    <row r="806">
      <c r="D806" s="18" t="s">
        <v>277</v>
      </c>
      <c r="E806" s="18" t="s">
        <v>277</v>
      </c>
      <c r="F806" s="18" t="s">
        <v>277</v>
      </c>
      <c r="I806" s="18" t="s">
        <v>277</v>
      </c>
      <c r="J806" s="18" t="s">
        <v>277</v>
      </c>
      <c r="K806" s="18" t="s">
        <v>277</v>
      </c>
    </row>
    <row r="807">
      <c r="D807" s="18" t="s">
        <v>277</v>
      </c>
      <c r="E807" s="18" t="s">
        <v>277</v>
      </c>
      <c r="F807" s="18" t="s">
        <v>277</v>
      </c>
      <c r="I807" s="18" t="s">
        <v>277</v>
      </c>
      <c r="J807" s="18" t="s">
        <v>277</v>
      </c>
      <c r="K807" s="18" t="s">
        <v>277</v>
      </c>
    </row>
    <row r="808">
      <c r="D808" s="18" t="s">
        <v>277</v>
      </c>
      <c r="E808" s="18" t="s">
        <v>277</v>
      </c>
      <c r="F808" s="18" t="s">
        <v>277</v>
      </c>
      <c r="I808" s="18" t="s">
        <v>277</v>
      </c>
      <c r="J808" s="18" t="s">
        <v>277</v>
      </c>
      <c r="K808" s="18" t="s">
        <v>277</v>
      </c>
    </row>
    <row r="809">
      <c r="D809" s="18" t="s">
        <v>277</v>
      </c>
      <c r="E809" s="18" t="s">
        <v>277</v>
      </c>
      <c r="F809" s="18" t="s">
        <v>277</v>
      </c>
      <c r="I809" s="18" t="s">
        <v>277</v>
      </c>
      <c r="J809" s="18" t="s">
        <v>277</v>
      </c>
      <c r="K809" s="18" t="s">
        <v>277</v>
      </c>
    </row>
    <row r="810">
      <c r="D810" s="18" t="s">
        <v>277</v>
      </c>
      <c r="E810" s="18" t="s">
        <v>277</v>
      </c>
      <c r="F810" s="18" t="s">
        <v>277</v>
      </c>
      <c r="I810" s="18" t="s">
        <v>277</v>
      </c>
      <c r="J810" s="18" t="s">
        <v>277</v>
      </c>
      <c r="K810" s="18" t="s">
        <v>277</v>
      </c>
    </row>
    <row r="811">
      <c r="D811" s="18" t="s">
        <v>277</v>
      </c>
      <c r="E811" s="18" t="s">
        <v>277</v>
      </c>
      <c r="F811" s="18" t="s">
        <v>277</v>
      </c>
      <c r="I811" s="18" t="s">
        <v>277</v>
      </c>
      <c r="J811" s="18" t="s">
        <v>277</v>
      </c>
      <c r="K811" s="18" t="s">
        <v>277</v>
      </c>
    </row>
    <row r="812">
      <c r="D812" s="18" t="s">
        <v>277</v>
      </c>
      <c r="E812" s="18" t="s">
        <v>277</v>
      </c>
      <c r="F812" s="18" t="s">
        <v>277</v>
      </c>
      <c r="I812" s="18" t="s">
        <v>277</v>
      </c>
      <c r="J812" s="18" t="s">
        <v>277</v>
      </c>
      <c r="K812" s="18" t="s">
        <v>277</v>
      </c>
    </row>
    <row r="813">
      <c r="D813" s="18" t="s">
        <v>277</v>
      </c>
      <c r="E813" s="18" t="s">
        <v>277</v>
      </c>
      <c r="F813" s="18" t="s">
        <v>277</v>
      </c>
      <c r="I813" s="18" t="s">
        <v>277</v>
      </c>
      <c r="J813" s="18" t="s">
        <v>277</v>
      </c>
      <c r="K813" s="18" t="s">
        <v>277</v>
      </c>
    </row>
    <row r="814">
      <c r="D814" s="18" t="s">
        <v>277</v>
      </c>
      <c r="E814" s="18" t="s">
        <v>277</v>
      </c>
      <c r="F814" s="18" t="s">
        <v>277</v>
      </c>
      <c r="I814" s="18" t="s">
        <v>277</v>
      </c>
      <c r="J814" s="18" t="s">
        <v>277</v>
      </c>
      <c r="K814" s="18" t="s">
        <v>277</v>
      </c>
    </row>
    <row r="815">
      <c r="D815" s="18" t="s">
        <v>277</v>
      </c>
      <c r="E815" s="18" t="s">
        <v>277</v>
      </c>
      <c r="F815" s="18" t="s">
        <v>277</v>
      </c>
      <c r="I815" s="18" t="s">
        <v>277</v>
      </c>
      <c r="J815" s="18" t="s">
        <v>277</v>
      </c>
      <c r="K815" s="18" t="s">
        <v>277</v>
      </c>
    </row>
    <row r="816">
      <c r="D816" s="18" t="s">
        <v>277</v>
      </c>
      <c r="E816" s="18" t="s">
        <v>277</v>
      </c>
      <c r="F816" s="18" t="s">
        <v>277</v>
      </c>
      <c r="I816" s="18" t="s">
        <v>277</v>
      </c>
      <c r="J816" s="18" t="s">
        <v>277</v>
      </c>
      <c r="K816" s="18" t="s">
        <v>277</v>
      </c>
    </row>
    <row r="817">
      <c r="D817" s="18" t="s">
        <v>277</v>
      </c>
      <c r="E817" s="18" t="s">
        <v>277</v>
      </c>
      <c r="F817" s="18" t="s">
        <v>277</v>
      </c>
      <c r="I817" s="18" t="s">
        <v>277</v>
      </c>
      <c r="J817" s="18" t="s">
        <v>277</v>
      </c>
      <c r="K817" s="18" t="s">
        <v>277</v>
      </c>
    </row>
    <row r="818">
      <c r="D818" s="18" t="s">
        <v>277</v>
      </c>
      <c r="E818" s="18" t="s">
        <v>277</v>
      </c>
      <c r="F818" s="18" t="s">
        <v>277</v>
      </c>
      <c r="I818" s="18" t="s">
        <v>277</v>
      </c>
      <c r="J818" s="18" t="s">
        <v>277</v>
      </c>
      <c r="K818" s="18" t="s">
        <v>277</v>
      </c>
    </row>
    <row r="819">
      <c r="D819" s="18" t="s">
        <v>277</v>
      </c>
      <c r="E819" s="18" t="s">
        <v>277</v>
      </c>
      <c r="F819" s="18" t="s">
        <v>277</v>
      </c>
      <c r="I819" s="18" t="s">
        <v>277</v>
      </c>
      <c r="J819" s="18" t="s">
        <v>277</v>
      </c>
      <c r="K819" s="18" t="s">
        <v>277</v>
      </c>
    </row>
    <row r="820">
      <c r="D820" s="18" t="s">
        <v>277</v>
      </c>
      <c r="E820" s="18" t="s">
        <v>277</v>
      </c>
      <c r="F820" s="18" t="s">
        <v>277</v>
      </c>
      <c r="I820" s="18" t="s">
        <v>277</v>
      </c>
      <c r="J820" s="18" t="s">
        <v>277</v>
      </c>
      <c r="K820" s="18" t="s">
        <v>277</v>
      </c>
    </row>
    <row r="821">
      <c r="D821" s="18" t="s">
        <v>277</v>
      </c>
      <c r="E821" s="18" t="s">
        <v>277</v>
      </c>
      <c r="F821" s="18" t="s">
        <v>277</v>
      </c>
      <c r="I821" s="18" t="s">
        <v>277</v>
      </c>
      <c r="J821" s="18" t="s">
        <v>277</v>
      </c>
      <c r="K821" s="18" t="s">
        <v>277</v>
      </c>
    </row>
    <row r="822">
      <c r="D822" s="18" t="s">
        <v>277</v>
      </c>
      <c r="E822" s="18" t="s">
        <v>277</v>
      </c>
      <c r="F822" s="18" t="s">
        <v>277</v>
      </c>
      <c r="I822" s="18" t="s">
        <v>277</v>
      </c>
      <c r="J822" s="18" t="s">
        <v>277</v>
      </c>
      <c r="K822" s="18" t="s">
        <v>277</v>
      </c>
    </row>
    <row r="823">
      <c r="D823" s="18" t="s">
        <v>277</v>
      </c>
      <c r="E823" s="18" t="s">
        <v>277</v>
      </c>
      <c r="F823" s="18" t="s">
        <v>277</v>
      </c>
      <c r="I823" s="18" t="s">
        <v>277</v>
      </c>
      <c r="J823" s="18" t="s">
        <v>277</v>
      </c>
      <c r="K823" s="18" t="s">
        <v>277</v>
      </c>
    </row>
    <row r="824">
      <c r="D824" s="18" t="s">
        <v>277</v>
      </c>
      <c r="E824" s="18" t="s">
        <v>277</v>
      </c>
      <c r="F824" s="18" t="s">
        <v>277</v>
      </c>
      <c r="I824" s="18" t="s">
        <v>277</v>
      </c>
      <c r="J824" s="18" t="s">
        <v>277</v>
      </c>
      <c r="K824" s="18" t="s">
        <v>277</v>
      </c>
    </row>
    <row r="825">
      <c r="D825" s="18" t="s">
        <v>277</v>
      </c>
      <c r="E825" s="18" t="s">
        <v>277</v>
      </c>
      <c r="F825" s="18" t="s">
        <v>277</v>
      </c>
      <c r="I825" s="18" t="s">
        <v>277</v>
      </c>
      <c r="J825" s="18" t="s">
        <v>277</v>
      </c>
      <c r="K825" s="18" t="s">
        <v>277</v>
      </c>
    </row>
    <row r="826">
      <c r="D826" s="18" t="s">
        <v>277</v>
      </c>
      <c r="E826" s="18" t="s">
        <v>277</v>
      </c>
      <c r="F826" s="18" t="s">
        <v>277</v>
      </c>
      <c r="I826" s="18" t="s">
        <v>277</v>
      </c>
      <c r="J826" s="18" t="s">
        <v>277</v>
      </c>
      <c r="K826" s="18" t="s">
        <v>277</v>
      </c>
    </row>
    <row r="827">
      <c r="D827" s="18" t="s">
        <v>277</v>
      </c>
      <c r="E827" s="18" t="s">
        <v>277</v>
      </c>
      <c r="F827" s="18" t="s">
        <v>277</v>
      </c>
      <c r="I827" s="18" t="s">
        <v>277</v>
      </c>
      <c r="J827" s="18" t="s">
        <v>277</v>
      </c>
      <c r="K827" s="18" t="s">
        <v>277</v>
      </c>
    </row>
    <row r="828">
      <c r="D828" s="18" t="s">
        <v>277</v>
      </c>
      <c r="E828" s="18" t="s">
        <v>277</v>
      </c>
      <c r="F828" s="18" t="s">
        <v>277</v>
      </c>
      <c r="I828" s="18" t="s">
        <v>277</v>
      </c>
      <c r="J828" s="18" t="s">
        <v>277</v>
      </c>
      <c r="K828" s="18" t="s">
        <v>277</v>
      </c>
    </row>
    <row r="829">
      <c r="D829" s="18" t="s">
        <v>277</v>
      </c>
      <c r="E829" s="18" t="s">
        <v>277</v>
      </c>
      <c r="F829" s="18" t="s">
        <v>277</v>
      </c>
      <c r="I829" s="18" t="s">
        <v>277</v>
      </c>
      <c r="J829" s="18" t="s">
        <v>277</v>
      </c>
      <c r="K829" s="18" t="s">
        <v>277</v>
      </c>
    </row>
    <row r="830">
      <c r="D830" s="18" t="s">
        <v>277</v>
      </c>
      <c r="E830" s="18" t="s">
        <v>277</v>
      </c>
      <c r="F830" s="18" t="s">
        <v>277</v>
      </c>
      <c r="I830" s="18" t="s">
        <v>277</v>
      </c>
      <c r="J830" s="18" t="s">
        <v>277</v>
      </c>
      <c r="K830" s="18" t="s">
        <v>277</v>
      </c>
    </row>
    <row r="831">
      <c r="D831" s="18" t="s">
        <v>277</v>
      </c>
      <c r="E831" s="18" t="s">
        <v>277</v>
      </c>
      <c r="F831" s="18" t="s">
        <v>277</v>
      </c>
      <c r="I831" s="18" t="s">
        <v>277</v>
      </c>
      <c r="J831" s="18" t="s">
        <v>277</v>
      </c>
      <c r="K831" s="18" t="s">
        <v>277</v>
      </c>
    </row>
    <row r="832">
      <c r="D832" s="18" t="s">
        <v>277</v>
      </c>
      <c r="E832" s="18" t="s">
        <v>277</v>
      </c>
      <c r="F832" s="18" t="s">
        <v>277</v>
      </c>
      <c r="I832" s="18" t="s">
        <v>277</v>
      </c>
      <c r="J832" s="18" t="s">
        <v>277</v>
      </c>
      <c r="K832" s="18" t="s">
        <v>277</v>
      </c>
    </row>
    <row r="833">
      <c r="D833" s="18" t="s">
        <v>277</v>
      </c>
      <c r="E833" s="18" t="s">
        <v>277</v>
      </c>
      <c r="F833" s="18" t="s">
        <v>277</v>
      </c>
      <c r="I833" s="18" t="s">
        <v>277</v>
      </c>
      <c r="J833" s="18" t="s">
        <v>277</v>
      </c>
      <c r="K833" s="18" t="s">
        <v>277</v>
      </c>
    </row>
    <row r="834">
      <c r="D834" s="18" t="s">
        <v>277</v>
      </c>
      <c r="E834" s="18" t="s">
        <v>277</v>
      </c>
      <c r="F834" s="18" t="s">
        <v>277</v>
      </c>
      <c r="I834" s="18" t="s">
        <v>277</v>
      </c>
      <c r="J834" s="18" t="s">
        <v>277</v>
      </c>
      <c r="K834" s="18" t="s">
        <v>277</v>
      </c>
    </row>
    <row r="835">
      <c r="D835" s="18" t="s">
        <v>277</v>
      </c>
      <c r="E835" s="18" t="s">
        <v>277</v>
      </c>
      <c r="F835" s="18" t="s">
        <v>277</v>
      </c>
      <c r="I835" s="18" t="s">
        <v>277</v>
      </c>
      <c r="J835" s="18" t="s">
        <v>277</v>
      </c>
      <c r="K835" s="18" t="s">
        <v>277</v>
      </c>
    </row>
    <row r="836">
      <c r="D836" s="18" t="s">
        <v>277</v>
      </c>
      <c r="E836" s="18" t="s">
        <v>277</v>
      </c>
      <c r="F836" s="18" t="s">
        <v>277</v>
      </c>
      <c r="I836" s="18" t="s">
        <v>277</v>
      </c>
      <c r="J836" s="18" t="s">
        <v>277</v>
      </c>
      <c r="K836" s="18" t="s">
        <v>277</v>
      </c>
    </row>
    <row r="837">
      <c r="D837" s="18" t="s">
        <v>277</v>
      </c>
      <c r="E837" s="18" t="s">
        <v>277</v>
      </c>
      <c r="F837" s="18" t="s">
        <v>277</v>
      </c>
      <c r="I837" s="18" t="s">
        <v>277</v>
      </c>
      <c r="J837" s="18" t="s">
        <v>277</v>
      </c>
      <c r="K837" s="18" t="s">
        <v>277</v>
      </c>
    </row>
    <row r="838">
      <c r="D838" s="18" t="s">
        <v>277</v>
      </c>
      <c r="E838" s="18" t="s">
        <v>277</v>
      </c>
      <c r="F838" s="18" t="s">
        <v>277</v>
      </c>
      <c r="I838" s="18" t="s">
        <v>277</v>
      </c>
      <c r="J838" s="18" t="s">
        <v>277</v>
      </c>
      <c r="K838" s="18" t="s">
        <v>277</v>
      </c>
    </row>
    <row r="839">
      <c r="D839" s="18" t="s">
        <v>277</v>
      </c>
      <c r="E839" s="18" t="s">
        <v>277</v>
      </c>
      <c r="F839" s="18" t="s">
        <v>277</v>
      </c>
      <c r="I839" s="18" t="s">
        <v>277</v>
      </c>
      <c r="J839" s="18" t="s">
        <v>277</v>
      </c>
      <c r="K839" s="18" t="s">
        <v>277</v>
      </c>
    </row>
    <row r="840">
      <c r="D840" s="18" t="s">
        <v>277</v>
      </c>
      <c r="E840" s="18" t="s">
        <v>277</v>
      </c>
      <c r="F840" s="18" t="s">
        <v>277</v>
      </c>
      <c r="I840" s="18" t="s">
        <v>277</v>
      </c>
      <c r="J840" s="18" t="s">
        <v>277</v>
      </c>
      <c r="K840" s="18" t="s">
        <v>277</v>
      </c>
    </row>
    <row r="841">
      <c r="D841" s="18" t="s">
        <v>277</v>
      </c>
      <c r="E841" s="18" t="s">
        <v>277</v>
      </c>
      <c r="F841" s="18" t="s">
        <v>277</v>
      </c>
      <c r="I841" s="18" t="s">
        <v>277</v>
      </c>
      <c r="J841" s="18" t="s">
        <v>277</v>
      </c>
      <c r="K841" s="18" t="s">
        <v>277</v>
      </c>
    </row>
    <row r="842">
      <c r="D842" s="18" t="s">
        <v>277</v>
      </c>
      <c r="E842" s="18" t="s">
        <v>277</v>
      </c>
      <c r="F842" s="18" t="s">
        <v>277</v>
      </c>
      <c r="I842" s="18" t="s">
        <v>277</v>
      </c>
      <c r="J842" s="18" t="s">
        <v>277</v>
      </c>
      <c r="K842" s="18" t="s">
        <v>277</v>
      </c>
    </row>
    <row r="843">
      <c r="D843" s="18" t="s">
        <v>277</v>
      </c>
      <c r="E843" s="18" t="s">
        <v>277</v>
      </c>
      <c r="F843" s="18" t="s">
        <v>277</v>
      </c>
      <c r="I843" s="18" t="s">
        <v>277</v>
      </c>
      <c r="J843" s="18" t="s">
        <v>277</v>
      </c>
      <c r="K843" s="18" t="s">
        <v>277</v>
      </c>
    </row>
    <row r="844">
      <c r="D844" s="18" t="s">
        <v>277</v>
      </c>
      <c r="E844" s="18" t="s">
        <v>277</v>
      </c>
      <c r="F844" s="18" t="s">
        <v>277</v>
      </c>
      <c r="I844" s="18" t="s">
        <v>277</v>
      </c>
      <c r="J844" s="18" t="s">
        <v>277</v>
      </c>
      <c r="K844" s="18" t="s">
        <v>277</v>
      </c>
    </row>
    <row r="845">
      <c r="D845" s="18" t="s">
        <v>277</v>
      </c>
      <c r="E845" s="18" t="s">
        <v>277</v>
      </c>
      <c r="F845" s="18" t="s">
        <v>277</v>
      </c>
      <c r="I845" s="18" t="s">
        <v>277</v>
      </c>
      <c r="J845" s="18" t="s">
        <v>277</v>
      </c>
      <c r="K845" s="18" t="s">
        <v>277</v>
      </c>
    </row>
    <row r="846">
      <c r="D846" s="18" t="s">
        <v>277</v>
      </c>
      <c r="E846" s="18" t="s">
        <v>277</v>
      </c>
      <c r="F846" s="18" t="s">
        <v>277</v>
      </c>
      <c r="I846" s="18" t="s">
        <v>277</v>
      </c>
      <c r="J846" s="18" t="s">
        <v>277</v>
      </c>
      <c r="K846" s="18" t="s">
        <v>277</v>
      </c>
    </row>
    <row r="847">
      <c r="D847" s="18" t="s">
        <v>277</v>
      </c>
      <c r="E847" s="18" t="s">
        <v>277</v>
      </c>
      <c r="F847" s="18" t="s">
        <v>277</v>
      </c>
      <c r="I847" s="18" t="s">
        <v>277</v>
      </c>
      <c r="J847" s="18" t="s">
        <v>277</v>
      </c>
      <c r="K847" s="18" t="s">
        <v>277</v>
      </c>
    </row>
    <row r="848">
      <c r="D848" s="18" t="s">
        <v>277</v>
      </c>
      <c r="E848" s="18" t="s">
        <v>277</v>
      </c>
      <c r="F848" s="18" t="s">
        <v>277</v>
      </c>
      <c r="I848" s="18" t="s">
        <v>277</v>
      </c>
      <c r="J848" s="18" t="s">
        <v>277</v>
      </c>
      <c r="K848" s="18" t="s">
        <v>277</v>
      </c>
    </row>
    <row r="849">
      <c r="D849" s="18" t="s">
        <v>277</v>
      </c>
      <c r="E849" s="18" t="s">
        <v>277</v>
      </c>
      <c r="F849" s="18" t="s">
        <v>277</v>
      </c>
      <c r="I849" s="18" t="s">
        <v>277</v>
      </c>
      <c r="J849" s="18" t="s">
        <v>277</v>
      </c>
      <c r="K849" s="18" t="s">
        <v>277</v>
      </c>
    </row>
    <row r="850">
      <c r="D850" s="18" t="s">
        <v>277</v>
      </c>
      <c r="E850" s="18" t="s">
        <v>277</v>
      </c>
      <c r="F850" s="18" t="s">
        <v>277</v>
      </c>
      <c r="I850" s="18" t="s">
        <v>277</v>
      </c>
      <c r="J850" s="18" t="s">
        <v>277</v>
      </c>
      <c r="K850" s="18" t="s">
        <v>277</v>
      </c>
    </row>
    <row r="851">
      <c r="D851" s="18" t="s">
        <v>277</v>
      </c>
      <c r="E851" s="18" t="s">
        <v>277</v>
      </c>
      <c r="F851" s="18" t="s">
        <v>277</v>
      </c>
      <c r="I851" s="18" t="s">
        <v>277</v>
      </c>
      <c r="J851" s="18" t="s">
        <v>277</v>
      </c>
      <c r="K851" s="18" t="s">
        <v>277</v>
      </c>
    </row>
    <row r="852">
      <c r="D852" s="18" t="s">
        <v>277</v>
      </c>
      <c r="E852" s="18" t="s">
        <v>277</v>
      </c>
      <c r="F852" s="18" t="s">
        <v>277</v>
      </c>
      <c r="I852" s="18" t="s">
        <v>277</v>
      </c>
      <c r="J852" s="18" t="s">
        <v>277</v>
      </c>
      <c r="K852" s="18" t="s">
        <v>277</v>
      </c>
    </row>
    <row r="853">
      <c r="D853" s="18" t="s">
        <v>277</v>
      </c>
      <c r="E853" s="18" t="s">
        <v>277</v>
      </c>
      <c r="F853" s="18" t="s">
        <v>277</v>
      </c>
      <c r="I853" s="18" t="s">
        <v>277</v>
      </c>
      <c r="J853" s="18" t="s">
        <v>277</v>
      </c>
      <c r="K853" s="18" t="s">
        <v>277</v>
      </c>
    </row>
    <row r="854">
      <c r="D854" s="18" t="s">
        <v>277</v>
      </c>
      <c r="E854" s="18" t="s">
        <v>277</v>
      </c>
      <c r="F854" s="18" t="s">
        <v>277</v>
      </c>
      <c r="I854" s="18" t="s">
        <v>277</v>
      </c>
      <c r="J854" s="18" t="s">
        <v>277</v>
      </c>
      <c r="K854" s="18" t="s">
        <v>277</v>
      </c>
    </row>
    <row r="855">
      <c r="D855" s="18" t="s">
        <v>277</v>
      </c>
      <c r="E855" s="18" t="s">
        <v>277</v>
      </c>
      <c r="F855" s="18" t="s">
        <v>277</v>
      </c>
      <c r="I855" s="18" t="s">
        <v>277</v>
      </c>
      <c r="J855" s="18" t="s">
        <v>277</v>
      </c>
      <c r="K855" s="18" t="s">
        <v>277</v>
      </c>
    </row>
    <row r="856">
      <c r="D856" s="18" t="s">
        <v>277</v>
      </c>
      <c r="E856" s="18" t="s">
        <v>277</v>
      </c>
      <c r="F856" s="18" t="s">
        <v>277</v>
      </c>
      <c r="I856" s="18" t="s">
        <v>277</v>
      </c>
      <c r="J856" s="18" t="s">
        <v>277</v>
      </c>
      <c r="K856" s="18" t="s">
        <v>277</v>
      </c>
    </row>
    <row r="857">
      <c r="D857" s="18" t="s">
        <v>277</v>
      </c>
      <c r="E857" s="18" t="s">
        <v>277</v>
      </c>
      <c r="F857" s="18" t="s">
        <v>277</v>
      </c>
      <c r="I857" s="18" t="s">
        <v>277</v>
      </c>
      <c r="J857" s="18" t="s">
        <v>277</v>
      </c>
      <c r="K857" s="18" t="s">
        <v>277</v>
      </c>
    </row>
    <row r="858">
      <c r="D858" s="18" t="s">
        <v>277</v>
      </c>
      <c r="E858" s="18" t="s">
        <v>277</v>
      </c>
      <c r="F858" s="18" t="s">
        <v>277</v>
      </c>
      <c r="I858" s="18" t="s">
        <v>277</v>
      </c>
      <c r="J858" s="18" t="s">
        <v>277</v>
      </c>
      <c r="K858" s="18" t="s">
        <v>277</v>
      </c>
    </row>
    <row r="859">
      <c r="D859" s="18" t="s">
        <v>277</v>
      </c>
      <c r="E859" s="18" t="s">
        <v>277</v>
      </c>
      <c r="F859" s="18" t="s">
        <v>277</v>
      </c>
      <c r="I859" s="18" t="s">
        <v>277</v>
      </c>
      <c r="J859" s="18" t="s">
        <v>277</v>
      </c>
      <c r="K859" s="18" t="s">
        <v>277</v>
      </c>
    </row>
    <row r="860">
      <c r="D860" s="18" t="s">
        <v>277</v>
      </c>
      <c r="E860" s="18" t="s">
        <v>277</v>
      </c>
      <c r="F860" s="18" t="s">
        <v>277</v>
      </c>
      <c r="I860" s="18" t="s">
        <v>277</v>
      </c>
      <c r="J860" s="18" t="s">
        <v>277</v>
      </c>
      <c r="K860" s="18" t="s">
        <v>277</v>
      </c>
    </row>
    <row r="861">
      <c r="D861" s="18" t="s">
        <v>277</v>
      </c>
      <c r="E861" s="18" t="s">
        <v>277</v>
      </c>
      <c r="F861" s="18" t="s">
        <v>277</v>
      </c>
      <c r="I861" s="18" t="s">
        <v>277</v>
      </c>
      <c r="J861" s="18" t="s">
        <v>277</v>
      </c>
      <c r="K861" s="18" t="s">
        <v>277</v>
      </c>
    </row>
    <row r="862">
      <c r="D862" s="18" t="s">
        <v>277</v>
      </c>
      <c r="E862" s="18" t="s">
        <v>277</v>
      </c>
      <c r="F862" s="18" t="s">
        <v>277</v>
      </c>
      <c r="I862" s="18" t="s">
        <v>277</v>
      </c>
      <c r="J862" s="18" t="s">
        <v>277</v>
      </c>
      <c r="K862" s="18" t="s">
        <v>277</v>
      </c>
    </row>
    <row r="863">
      <c r="D863" s="18" t="s">
        <v>277</v>
      </c>
      <c r="E863" s="18" t="s">
        <v>277</v>
      </c>
      <c r="F863" s="18" t="s">
        <v>277</v>
      </c>
      <c r="I863" s="18" t="s">
        <v>277</v>
      </c>
      <c r="J863" s="18" t="s">
        <v>277</v>
      </c>
      <c r="K863" s="18" t="s">
        <v>277</v>
      </c>
    </row>
    <row r="864">
      <c r="D864" s="18" t="s">
        <v>277</v>
      </c>
      <c r="E864" s="18" t="s">
        <v>277</v>
      </c>
      <c r="F864" s="18" t="s">
        <v>277</v>
      </c>
      <c r="I864" s="18" t="s">
        <v>277</v>
      </c>
      <c r="J864" s="18" t="s">
        <v>277</v>
      </c>
      <c r="K864" s="18" t="s">
        <v>277</v>
      </c>
    </row>
    <row r="865">
      <c r="D865" s="18" t="s">
        <v>277</v>
      </c>
      <c r="E865" s="18" t="s">
        <v>277</v>
      </c>
      <c r="F865" s="18" t="s">
        <v>277</v>
      </c>
      <c r="I865" s="18" t="s">
        <v>277</v>
      </c>
      <c r="J865" s="18" t="s">
        <v>277</v>
      </c>
      <c r="K865" s="18" t="s">
        <v>277</v>
      </c>
    </row>
    <row r="866">
      <c r="D866" s="18" t="s">
        <v>277</v>
      </c>
      <c r="E866" s="18" t="s">
        <v>277</v>
      </c>
      <c r="F866" s="18" t="s">
        <v>277</v>
      </c>
      <c r="I866" s="18" t="s">
        <v>277</v>
      </c>
      <c r="J866" s="18" t="s">
        <v>277</v>
      </c>
      <c r="K866" s="18" t="s">
        <v>277</v>
      </c>
    </row>
    <row r="867">
      <c r="D867" s="18" t="s">
        <v>277</v>
      </c>
      <c r="E867" s="18" t="s">
        <v>277</v>
      </c>
      <c r="F867" s="18" t="s">
        <v>277</v>
      </c>
      <c r="I867" s="18" t="s">
        <v>277</v>
      </c>
      <c r="J867" s="18" t="s">
        <v>277</v>
      </c>
      <c r="K867" s="18" t="s">
        <v>277</v>
      </c>
    </row>
    <row r="868">
      <c r="D868" s="18" t="s">
        <v>277</v>
      </c>
      <c r="E868" s="18" t="s">
        <v>277</v>
      </c>
      <c r="F868" s="18" t="s">
        <v>277</v>
      </c>
      <c r="I868" s="18" t="s">
        <v>277</v>
      </c>
      <c r="J868" s="18" t="s">
        <v>277</v>
      </c>
      <c r="K868" s="18" t="s">
        <v>277</v>
      </c>
    </row>
    <row r="869">
      <c r="D869" s="18" t="s">
        <v>277</v>
      </c>
      <c r="E869" s="18" t="s">
        <v>277</v>
      </c>
      <c r="F869" s="18" t="s">
        <v>277</v>
      </c>
      <c r="I869" s="18" t="s">
        <v>277</v>
      </c>
      <c r="J869" s="18" t="s">
        <v>277</v>
      </c>
      <c r="K869" s="18" t="s">
        <v>277</v>
      </c>
    </row>
    <row r="870">
      <c r="D870" s="18" t="s">
        <v>277</v>
      </c>
      <c r="E870" s="18" t="s">
        <v>277</v>
      </c>
      <c r="F870" s="18" t="s">
        <v>277</v>
      </c>
      <c r="I870" s="18" t="s">
        <v>277</v>
      </c>
      <c r="J870" s="18" t="s">
        <v>277</v>
      </c>
      <c r="K870" s="18" t="s">
        <v>277</v>
      </c>
    </row>
    <row r="871">
      <c r="D871" s="18" t="s">
        <v>277</v>
      </c>
      <c r="E871" s="18" t="s">
        <v>277</v>
      </c>
      <c r="F871" s="18" t="s">
        <v>277</v>
      </c>
      <c r="I871" s="18" t="s">
        <v>277</v>
      </c>
      <c r="J871" s="18" t="s">
        <v>277</v>
      </c>
      <c r="K871" s="18" t="s">
        <v>277</v>
      </c>
    </row>
    <row r="872">
      <c r="D872" s="18" t="s">
        <v>277</v>
      </c>
      <c r="E872" s="18" t="s">
        <v>277</v>
      </c>
      <c r="F872" s="18" t="s">
        <v>277</v>
      </c>
      <c r="I872" s="18" t="s">
        <v>277</v>
      </c>
      <c r="J872" s="18" t="s">
        <v>277</v>
      </c>
      <c r="K872" s="18" t="s">
        <v>277</v>
      </c>
    </row>
    <row r="873">
      <c r="D873" s="18" t="s">
        <v>277</v>
      </c>
      <c r="E873" s="18" t="s">
        <v>277</v>
      </c>
      <c r="F873" s="18" t="s">
        <v>277</v>
      </c>
      <c r="I873" s="18" t="s">
        <v>277</v>
      </c>
      <c r="J873" s="18" t="s">
        <v>277</v>
      </c>
      <c r="K873" s="18" t="s">
        <v>277</v>
      </c>
    </row>
    <row r="874">
      <c r="D874" s="18" t="s">
        <v>277</v>
      </c>
      <c r="E874" s="18" t="s">
        <v>277</v>
      </c>
      <c r="F874" s="18" t="s">
        <v>277</v>
      </c>
      <c r="I874" s="18" t="s">
        <v>277</v>
      </c>
      <c r="J874" s="18" t="s">
        <v>277</v>
      </c>
      <c r="K874" s="18" t="s">
        <v>277</v>
      </c>
    </row>
    <row r="875">
      <c r="D875" s="18" t="s">
        <v>277</v>
      </c>
      <c r="E875" s="18" t="s">
        <v>277</v>
      </c>
      <c r="F875" s="18" t="s">
        <v>277</v>
      </c>
      <c r="I875" s="18" t="s">
        <v>277</v>
      </c>
      <c r="J875" s="18" t="s">
        <v>277</v>
      </c>
      <c r="K875" s="18" t="s">
        <v>277</v>
      </c>
    </row>
    <row r="876">
      <c r="D876" s="18" t="s">
        <v>277</v>
      </c>
      <c r="E876" s="18" t="s">
        <v>277</v>
      </c>
      <c r="F876" s="18" t="s">
        <v>277</v>
      </c>
      <c r="I876" s="18" t="s">
        <v>277</v>
      </c>
      <c r="J876" s="18" t="s">
        <v>277</v>
      </c>
      <c r="K876" s="18" t="s">
        <v>277</v>
      </c>
    </row>
    <row r="877">
      <c r="D877" s="18" t="s">
        <v>277</v>
      </c>
      <c r="E877" s="18" t="s">
        <v>277</v>
      </c>
      <c r="F877" s="18" t="s">
        <v>277</v>
      </c>
      <c r="I877" s="18" t="s">
        <v>277</v>
      </c>
      <c r="J877" s="18" t="s">
        <v>277</v>
      </c>
      <c r="K877" s="18" t="s">
        <v>277</v>
      </c>
    </row>
    <row r="878">
      <c r="D878" s="18" t="s">
        <v>277</v>
      </c>
      <c r="E878" s="18" t="s">
        <v>277</v>
      </c>
      <c r="F878" s="18" t="s">
        <v>277</v>
      </c>
      <c r="I878" s="18" t="s">
        <v>277</v>
      </c>
      <c r="J878" s="18" t="s">
        <v>277</v>
      </c>
      <c r="K878" s="18" t="s">
        <v>277</v>
      </c>
    </row>
    <row r="879">
      <c r="D879" s="18" t="s">
        <v>277</v>
      </c>
      <c r="E879" s="18" t="s">
        <v>277</v>
      </c>
      <c r="F879" s="18" t="s">
        <v>277</v>
      </c>
      <c r="I879" s="18" t="s">
        <v>277</v>
      </c>
      <c r="J879" s="18" t="s">
        <v>277</v>
      </c>
      <c r="K879" s="18" t="s">
        <v>277</v>
      </c>
    </row>
    <row r="880">
      <c r="D880" s="18" t="s">
        <v>277</v>
      </c>
      <c r="E880" s="18" t="s">
        <v>277</v>
      </c>
      <c r="F880" s="18" t="s">
        <v>277</v>
      </c>
      <c r="I880" s="18" t="s">
        <v>277</v>
      </c>
      <c r="J880" s="18" t="s">
        <v>277</v>
      </c>
      <c r="K880" s="18" t="s">
        <v>277</v>
      </c>
    </row>
    <row r="881">
      <c r="D881" s="18" t="s">
        <v>277</v>
      </c>
      <c r="E881" s="18" t="s">
        <v>277</v>
      </c>
      <c r="F881" s="18" t="s">
        <v>277</v>
      </c>
      <c r="I881" s="18" t="s">
        <v>277</v>
      </c>
      <c r="J881" s="18" t="s">
        <v>277</v>
      </c>
      <c r="K881" s="18" t="s">
        <v>277</v>
      </c>
    </row>
    <row r="882">
      <c r="D882" s="18" t="s">
        <v>277</v>
      </c>
      <c r="E882" s="18" t="s">
        <v>277</v>
      </c>
      <c r="F882" s="18" t="s">
        <v>277</v>
      </c>
      <c r="I882" s="18" t="s">
        <v>277</v>
      </c>
      <c r="J882" s="18" t="s">
        <v>277</v>
      </c>
      <c r="K882" s="18" t="s">
        <v>277</v>
      </c>
    </row>
    <row r="883">
      <c r="D883" s="18" t="s">
        <v>277</v>
      </c>
      <c r="E883" s="18" t="s">
        <v>277</v>
      </c>
      <c r="F883" s="18" t="s">
        <v>277</v>
      </c>
      <c r="I883" s="18" t="s">
        <v>277</v>
      </c>
      <c r="J883" s="18" t="s">
        <v>277</v>
      </c>
      <c r="K883" s="18" t="s">
        <v>277</v>
      </c>
    </row>
    <row r="884">
      <c r="D884" s="18" t="s">
        <v>277</v>
      </c>
      <c r="E884" s="18" t="s">
        <v>277</v>
      </c>
      <c r="F884" s="18" t="s">
        <v>277</v>
      </c>
      <c r="I884" s="18" t="s">
        <v>277</v>
      </c>
      <c r="J884" s="18" t="s">
        <v>277</v>
      </c>
      <c r="K884" s="18" t="s">
        <v>277</v>
      </c>
    </row>
    <row r="885">
      <c r="D885" s="18" t="s">
        <v>277</v>
      </c>
      <c r="E885" s="18" t="s">
        <v>277</v>
      </c>
      <c r="F885" s="18" t="s">
        <v>277</v>
      </c>
      <c r="I885" s="18" t="s">
        <v>277</v>
      </c>
      <c r="J885" s="18" t="s">
        <v>277</v>
      </c>
      <c r="K885" s="18" t="s">
        <v>277</v>
      </c>
    </row>
    <row r="886">
      <c r="D886" s="18" t="s">
        <v>277</v>
      </c>
      <c r="E886" s="18" t="s">
        <v>277</v>
      </c>
      <c r="F886" s="18" t="s">
        <v>277</v>
      </c>
      <c r="I886" s="18" t="s">
        <v>277</v>
      </c>
      <c r="J886" s="18" t="s">
        <v>277</v>
      </c>
      <c r="K886" s="18" t="s">
        <v>277</v>
      </c>
    </row>
    <row r="887">
      <c r="D887" s="18" t="s">
        <v>277</v>
      </c>
      <c r="E887" s="18" t="s">
        <v>277</v>
      </c>
      <c r="F887" s="18" t="s">
        <v>277</v>
      </c>
      <c r="I887" s="18" t="s">
        <v>277</v>
      </c>
      <c r="J887" s="18" t="s">
        <v>277</v>
      </c>
      <c r="K887" s="18" t="s">
        <v>277</v>
      </c>
    </row>
    <row r="888">
      <c r="D888" s="18" t="s">
        <v>277</v>
      </c>
      <c r="E888" s="18" t="s">
        <v>277</v>
      </c>
      <c r="F888" s="18" t="s">
        <v>277</v>
      </c>
      <c r="I888" s="18" t="s">
        <v>277</v>
      </c>
      <c r="J888" s="18" t="s">
        <v>277</v>
      </c>
      <c r="K888" s="18" t="s">
        <v>277</v>
      </c>
    </row>
    <row r="889">
      <c r="D889" s="18" t="s">
        <v>277</v>
      </c>
      <c r="E889" s="18" t="s">
        <v>277</v>
      </c>
      <c r="F889" s="18" t="s">
        <v>277</v>
      </c>
      <c r="I889" s="18" t="s">
        <v>277</v>
      </c>
      <c r="J889" s="18" t="s">
        <v>277</v>
      </c>
      <c r="K889" s="18" t="s">
        <v>277</v>
      </c>
    </row>
    <row r="890">
      <c r="D890" s="18" t="s">
        <v>277</v>
      </c>
      <c r="E890" s="18" t="s">
        <v>277</v>
      </c>
      <c r="F890" s="18" t="s">
        <v>277</v>
      </c>
      <c r="I890" s="18" t="s">
        <v>277</v>
      </c>
      <c r="J890" s="18" t="s">
        <v>277</v>
      </c>
      <c r="K890" s="18" t="s">
        <v>277</v>
      </c>
    </row>
    <row r="891">
      <c r="D891" s="18" t="s">
        <v>277</v>
      </c>
      <c r="E891" s="18" t="s">
        <v>277</v>
      </c>
      <c r="F891" s="18" t="s">
        <v>277</v>
      </c>
      <c r="I891" s="18" t="s">
        <v>277</v>
      </c>
      <c r="J891" s="18" t="s">
        <v>277</v>
      </c>
      <c r="K891" s="18" t="s">
        <v>277</v>
      </c>
    </row>
    <row r="892">
      <c r="D892" s="18" t="s">
        <v>277</v>
      </c>
      <c r="E892" s="18" t="s">
        <v>277</v>
      </c>
      <c r="F892" s="18" t="s">
        <v>277</v>
      </c>
      <c r="I892" s="18" t="s">
        <v>277</v>
      </c>
      <c r="J892" s="18" t="s">
        <v>277</v>
      </c>
      <c r="K892" s="18" t="s">
        <v>277</v>
      </c>
    </row>
    <row r="893">
      <c r="D893" s="18" t="s">
        <v>277</v>
      </c>
      <c r="E893" s="18" t="s">
        <v>277</v>
      </c>
      <c r="F893" s="18" t="s">
        <v>277</v>
      </c>
      <c r="I893" s="18" t="s">
        <v>277</v>
      </c>
      <c r="J893" s="18" t="s">
        <v>277</v>
      </c>
      <c r="K893" s="18" t="s">
        <v>277</v>
      </c>
    </row>
    <row r="894">
      <c r="D894" s="18" t="s">
        <v>277</v>
      </c>
      <c r="E894" s="18" t="s">
        <v>277</v>
      </c>
      <c r="F894" s="18" t="s">
        <v>277</v>
      </c>
      <c r="I894" s="18" t="s">
        <v>277</v>
      </c>
      <c r="J894" s="18" t="s">
        <v>277</v>
      </c>
      <c r="K894" s="18" t="s">
        <v>277</v>
      </c>
    </row>
    <row r="895">
      <c r="D895" s="18" t="s">
        <v>277</v>
      </c>
      <c r="E895" s="18" t="s">
        <v>277</v>
      </c>
      <c r="F895" s="18" t="s">
        <v>277</v>
      </c>
      <c r="I895" s="18" t="s">
        <v>277</v>
      </c>
      <c r="J895" s="18" t="s">
        <v>277</v>
      </c>
      <c r="K895" s="18" t="s">
        <v>277</v>
      </c>
    </row>
    <row r="896">
      <c r="D896" s="18" t="s">
        <v>277</v>
      </c>
      <c r="E896" s="18" t="s">
        <v>277</v>
      </c>
      <c r="F896" s="18" t="s">
        <v>277</v>
      </c>
      <c r="I896" s="18" t="s">
        <v>277</v>
      </c>
      <c r="J896" s="18" t="s">
        <v>277</v>
      </c>
      <c r="K896" s="18" t="s">
        <v>277</v>
      </c>
    </row>
    <row r="897">
      <c r="D897" s="18" t="s">
        <v>277</v>
      </c>
      <c r="E897" s="18" t="s">
        <v>277</v>
      </c>
      <c r="F897" s="18" t="s">
        <v>277</v>
      </c>
      <c r="I897" s="18" t="s">
        <v>277</v>
      </c>
      <c r="J897" s="18" t="s">
        <v>277</v>
      </c>
      <c r="K897" s="18" t="s">
        <v>277</v>
      </c>
    </row>
    <row r="898">
      <c r="D898" s="18" t="s">
        <v>277</v>
      </c>
      <c r="E898" s="18" t="s">
        <v>277</v>
      </c>
      <c r="F898" s="18" t="s">
        <v>277</v>
      </c>
      <c r="I898" s="18" t="s">
        <v>277</v>
      </c>
      <c r="J898" s="18" t="s">
        <v>277</v>
      </c>
      <c r="K898" s="18" t="s">
        <v>277</v>
      </c>
    </row>
    <row r="899">
      <c r="D899" s="18" t="s">
        <v>277</v>
      </c>
      <c r="E899" s="18" t="s">
        <v>277</v>
      </c>
      <c r="F899" s="18" t="s">
        <v>277</v>
      </c>
      <c r="I899" s="18" t="s">
        <v>277</v>
      </c>
      <c r="J899" s="18" t="s">
        <v>277</v>
      </c>
      <c r="K899" s="18" t="s">
        <v>277</v>
      </c>
    </row>
    <row r="900">
      <c r="D900" s="18" t="s">
        <v>277</v>
      </c>
      <c r="E900" s="18" t="s">
        <v>277</v>
      </c>
      <c r="F900" s="18" t="s">
        <v>277</v>
      </c>
      <c r="I900" s="18" t="s">
        <v>277</v>
      </c>
      <c r="J900" s="18" t="s">
        <v>277</v>
      </c>
      <c r="K900" s="18" t="s">
        <v>277</v>
      </c>
    </row>
    <row r="901">
      <c r="D901" s="18" t="s">
        <v>277</v>
      </c>
      <c r="E901" s="18" t="s">
        <v>277</v>
      </c>
      <c r="F901" s="18" t="s">
        <v>277</v>
      </c>
      <c r="I901" s="18" t="s">
        <v>277</v>
      </c>
      <c r="J901" s="18" t="s">
        <v>277</v>
      </c>
      <c r="K901" s="18" t="s">
        <v>277</v>
      </c>
    </row>
    <row r="902">
      <c r="D902" s="18" t="s">
        <v>277</v>
      </c>
      <c r="E902" s="18" t="s">
        <v>277</v>
      </c>
      <c r="F902" s="18" t="s">
        <v>277</v>
      </c>
      <c r="I902" s="18" t="s">
        <v>277</v>
      </c>
      <c r="J902" s="18" t="s">
        <v>277</v>
      </c>
      <c r="K902" s="18" t="s">
        <v>277</v>
      </c>
    </row>
    <row r="903">
      <c r="D903" s="18" t="s">
        <v>277</v>
      </c>
      <c r="E903" s="18" t="s">
        <v>277</v>
      </c>
      <c r="F903" s="18" t="s">
        <v>277</v>
      </c>
      <c r="I903" s="18" t="s">
        <v>277</v>
      </c>
      <c r="J903" s="18" t="s">
        <v>277</v>
      </c>
      <c r="K903" s="18" t="s">
        <v>277</v>
      </c>
    </row>
    <row r="904">
      <c r="D904" s="18" t="s">
        <v>277</v>
      </c>
      <c r="E904" s="18" t="s">
        <v>277</v>
      </c>
      <c r="F904" s="18" t="s">
        <v>277</v>
      </c>
      <c r="I904" s="18" t="s">
        <v>277</v>
      </c>
      <c r="J904" s="18" t="s">
        <v>277</v>
      </c>
      <c r="K904" s="18" t="s">
        <v>277</v>
      </c>
    </row>
    <row r="905">
      <c r="D905" s="18" t="s">
        <v>277</v>
      </c>
      <c r="E905" s="18" t="s">
        <v>277</v>
      </c>
      <c r="F905" s="18" t="s">
        <v>277</v>
      </c>
      <c r="I905" s="18" t="s">
        <v>277</v>
      </c>
      <c r="J905" s="18" t="s">
        <v>277</v>
      </c>
      <c r="K905" s="18" t="s">
        <v>277</v>
      </c>
    </row>
    <row r="906">
      <c r="D906" s="18" t="s">
        <v>277</v>
      </c>
      <c r="E906" s="18" t="s">
        <v>277</v>
      </c>
      <c r="F906" s="18" t="s">
        <v>277</v>
      </c>
      <c r="I906" s="18" t="s">
        <v>277</v>
      </c>
      <c r="J906" s="18" t="s">
        <v>277</v>
      </c>
      <c r="K906" s="18" t="s">
        <v>277</v>
      </c>
    </row>
    <row r="907">
      <c r="D907" s="18" t="s">
        <v>277</v>
      </c>
      <c r="E907" s="18" t="s">
        <v>277</v>
      </c>
      <c r="F907" s="18" t="s">
        <v>277</v>
      </c>
      <c r="I907" s="18" t="s">
        <v>277</v>
      </c>
      <c r="J907" s="18" t="s">
        <v>277</v>
      </c>
      <c r="K907" s="18" t="s">
        <v>277</v>
      </c>
    </row>
    <row r="908">
      <c r="D908" s="18" t="s">
        <v>277</v>
      </c>
      <c r="E908" s="18" t="s">
        <v>277</v>
      </c>
      <c r="F908" s="18" t="s">
        <v>277</v>
      </c>
      <c r="I908" s="18" t="s">
        <v>277</v>
      </c>
      <c r="J908" s="18" t="s">
        <v>277</v>
      </c>
      <c r="K908" s="18" t="s">
        <v>277</v>
      </c>
    </row>
    <row r="909">
      <c r="D909" s="18" t="s">
        <v>277</v>
      </c>
      <c r="E909" s="18" t="s">
        <v>277</v>
      </c>
      <c r="F909" s="18" t="s">
        <v>277</v>
      </c>
      <c r="I909" s="18" t="s">
        <v>277</v>
      </c>
      <c r="J909" s="18" t="s">
        <v>277</v>
      </c>
      <c r="K909" s="18" t="s">
        <v>277</v>
      </c>
    </row>
    <row r="910">
      <c r="D910" s="18" t="s">
        <v>277</v>
      </c>
      <c r="E910" s="18" t="s">
        <v>277</v>
      </c>
      <c r="F910" s="18" t="s">
        <v>277</v>
      </c>
      <c r="I910" s="18" t="s">
        <v>277</v>
      </c>
      <c r="J910" s="18" t="s">
        <v>277</v>
      </c>
      <c r="K910" s="18" t="s">
        <v>277</v>
      </c>
    </row>
    <row r="911">
      <c r="D911" s="18" t="s">
        <v>277</v>
      </c>
      <c r="E911" s="18" t="s">
        <v>277</v>
      </c>
      <c r="F911" s="18" t="s">
        <v>277</v>
      </c>
      <c r="I911" s="18" t="s">
        <v>277</v>
      </c>
      <c r="J911" s="18" t="s">
        <v>277</v>
      </c>
      <c r="K911" s="18" t="s">
        <v>277</v>
      </c>
    </row>
    <row r="912">
      <c r="D912" s="18" t="s">
        <v>277</v>
      </c>
      <c r="E912" s="18" t="s">
        <v>277</v>
      </c>
      <c r="F912" s="18" t="s">
        <v>277</v>
      </c>
      <c r="I912" s="18" t="s">
        <v>277</v>
      </c>
      <c r="J912" s="18" t="s">
        <v>277</v>
      </c>
      <c r="K912" s="18" t="s">
        <v>277</v>
      </c>
    </row>
    <row r="913">
      <c r="D913" s="18" t="s">
        <v>277</v>
      </c>
      <c r="E913" s="18" t="s">
        <v>277</v>
      </c>
      <c r="F913" s="18" t="s">
        <v>277</v>
      </c>
      <c r="I913" s="18" t="s">
        <v>277</v>
      </c>
      <c r="J913" s="18" t="s">
        <v>277</v>
      </c>
      <c r="K913" s="18" t="s">
        <v>277</v>
      </c>
    </row>
    <row r="914">
      <c r="D914" s="18" t="s">
        <v>277</v>
      </c>
      <c r="E914" s="18" t="s">
        <v>277</v>
      </c>
      <c r="F914" s="18" t="s">
        <v>277</v>
      </c>
      <c r="I914" s="18" t="s">
        <v>277</v>
      </c>
      <c r="J914" s="18" t="s">
        <v>277</v>
      </c>
      <c r="K914" s="18" t="s">
        <v>277</v>
      </c>
    </row>
    <row r="915">
      <c r="D915" s="18" t="s">
        <v>277</v>
      </c>
      <c r="E915" s="18" t="s">
        <v>277</v>
      </c>
      <c r="F915" s="18" t="s">
        <v>277</v>
      </c>
      <c r="I915" s="18" t="s">
        <v>277</v>
      </c>
      <c r="J915" s="18" t="s">
        <v>277</v>
      </c>
      <c r="K915" s="18" t="s">
        <v>277</v>
      </c>
    </row>
    <row r="916">
      <c r="D916" s="18" t="s">
        <v>277</v>
      </c>
      <c r="E916" s="18" t="s">
        <v>277</v>
      </c>
      <c r="F916" s="18" t="s">
        <v>277</v>
      </c>
      <c r="I916" s="18" t="s">
        <v>277</v>
      </c>
      <c r="J916" s="18" t="s">
        <v>277</v>
      </c>
      <c r="K916" s="18" t="s">
        <v>277</v>
      </c>
    </row>
    <row r="917">
      <c r="D917" s="18" t="s">
        <v>277</v>
      </c>
      <c r="E917" s="18" t="s">
        <v>277</v>
      </c>
      <c r="F917" s="18" t="s">
        <v>277</v>
      </c>
      <c r="I917" s="18" t="s">
        <v>277</v>
      </c>
      <c r="J917" s="18" t="s">
        <v>277</v>
      </c>
      <c r="K917" s="18" t="s">
        <v>277</v>
      </c>
    </row>
    <row r="918">
      <c r="D918" s="18" t="s">
        <v>277</v>
      </c>
      <c r="E918" s="18" t="s">
        <v>277</v>
      </c>
      <c r="F918" s="18" t="s">
        <v>277</v>
      </c>
      <c r="I918" s="18" t="s">
        <v>277</v>
      </c>
      <c r="J918" s="18" t="s">
        <v>277</v>
      </c>
      <c r="K918" s="18" t="s">
        <v>277</v>
      </c>
    </row>
    <row r="919">
      <c r="D919" s="18" t="s">
        <v>277</v>
      </c>
      <c r="E919" s="18" t="s">
        <v>277</v>
      </c>
      <c r="F919" s="18" t="s">
        <v>277</v>
      </c>
      <c r="I919" s="18" t="s">
        <v>277</v>
      </c>
      <c r="J919" s="18" t="s">
        <v>277</v>
      </c>
      <c r="K919" s="18" t="s">
        <v>277</v>
      </c>
    </row>
    <row r="920">
      <c r="D920" s="18" t="s">
        <v>277</v>
      </c>
      <c r="E920" s="18" t="s">
        <v>277</v>
      </c>
      <c r="F920" s="18" t="s">
        <v>277</v>
      </c>
      <c r="I920" s="18" t="s">
        <v>277</v>
      </c>
      <c r="J920" s="18" t="s">
        <v>277</v>
      </c>
      <c r="K920" s="18" t="s">
        <v>277</v>
      </c>
    </row>
    <row r="921">
      <c r="D921" s="18" t="s">
        <v>277</v>
      </c>
      <c r="E921" s="18" t="s">
        <v>277</v>
      </c>
      <c r="F921" s="18" t="s">
        <v>277</v>
      </c>
      <c r="I921" s="18" t="s">
        <v>277</v>
      </c>
      <c r="J921" s="18" t="s">
        <v>277</v>
      </c>
      <c r="K921" s="18" t="s">
        <v>277</v>
      </c>
    </row>
    <row r="922">
      <c r="D922" s="18" t="s">
        <v>277</v>
      </c>
      <c r="E922" s="18" t="s">
        <v>277</v>
      </c>
      <c r="F922" s="18" t="s">
        <v>277</v>
      </c>
      <c r="I922" s="18" t="s">
        <v>277</v>
      </c>
      <c r="J922" s="18" t="s">
        <v>277</v>
      </c>
      <c r="K922" s="18" t="s">
        <v>277</v>
      </c>
    </row>
    <row r="923">
      <c r="D923" s="18" t="s">
        <v>277</v>
      </c>
      <c r="E923" s="18" t="s">
        <v>277</v>
      </c>
      <c r="F923" s="18" t="s">
        <v>277</v>
      </c>
      <c r="I923" s="18" t="s">
        <v>277</v>
      </c>
      <c r="J923" s="18" t="s">
        <v>277</v>
      </c>
      <c r="K923" s="18" t="s">
        <v>277</v>
      </c>
    </row>
    <row r="924">
      <c r="D924" s="18" t="s">
        <v>277</v>
      </c>
      <c r="E924" s="18" t="s">
        <v>277</v>
      </c>
      <c r="F924" s="18" t="s">
        <v>277</v>
      </c>
      <c r="I924" s="18" t="s">
        <v>277</v>
      </c>
      <c r="J924" s="18" t="s">
        <v>277</v>
      </c>
      <c r="K924" s="18" t="s">
        <v>277</v>
      </c>
    </row>
    <row r="925">
      <c r="D925" s="18" t="s">
        <v>277</v>
      </c>
      <c r="E925" s="18" t="s">
        <v>277</v>
      </c>
      <c r="F925" s="18" t="s">
        <v>277</v>
      </c>
      <c r="I925" s="18" t="s">
        <v>277</v>
      </c>
      <c r="J925" s="18" t="s">
        <v>277</v>
      </c>
      <c r="K925" s="18" t="s">
        <v>277</v>
      </c>
    </row>
    <row r="926">
      <c r="D926" s="18" t="s">
        <v>277</v>
      </c>
      <c r="E926" s="18" t="s">
        <v>277</v>
      </c>
      <c r="F926" s="18" t="s">
        <v>277</v>
      </c>
      <c r="I926" s="18" t="s">
        <v>277</v>
      </c>
      <c r="J926" s="18" t="s">
        <v>277</v>
      </c>
      <c r="K926" s="18" t="s">
        <v>277</v>
      </c>
    </row>
    <row r="927">
      <c r="D927" s="18" t="s">
        <v>277</v>
      </c>
      <c r="E927" s="18" t="s">
        <v>277</v>
      </c>
      <c r="F927" s="18" t="s">
        <v>277</v>
      </c>
      <c r="I927" s="18" t="s">
        <v>277</v>
      </c>
      <c r="J927" s="18" t="s">
        <v>277</v>
      </c>
      <c r="K927" s="18" t="s">
        <v>277</v>
      </c>
    </row>
    <row r="928">
      <c r="D928" s="18" t="s">
        <v>277</v>
      </c>
      <c r="E928" s="18" t="s">
        <v>277</v>
      </c>
      <c r="F928" s="18" t="s">
        <v>277</v>
      </c>
      <c r="I928" s="18" t="s">
        <v>277</v>
      </c>
      <c r="J928" s="18" t="s">
        <v>277</v>
      </c>
      <c r="K928" s="18" t="s">
        <v>277</v>
      </c>
    </row>
    <row r="929">
      <c r="D929" s="18" t="s">
        <v>277</v>
      </c>
      <c r="E929" s="18" t="s">
        <v>277</v>
      </c>
      <c r="F929" s="18" t="s">
        <v>277</v>
      </c>
      <c r="I929" s="18" t="s">
        <v>277</v>
      </c>
      <c r="J929" s="18" t="s">
        <v>277</v>
      </c>
      <c r="K929" s="18" t="s">
        <v>277</v>
      </c>
    </row>
    <row r="930">
      <c r="D930" s="18" t="s">
        <v>277</v>
      </c>
      <c r="E930" s="18" t="s">
        <v>277</v>
      </c>
      <c r="F930" s="18" t="s">
        <v>277</v>
      </c>
      <c r="I930" s="18" t="s">
        <v>277</v>
      </c>
      <c r="J930" s="18" t="s">
        <v>277</v>
      </c>
      <c r="K930" s="18" t="s">
        <v>277</v>
      </c>
    </row>
    <row r="931">
      <c r="D931" s="18" t="s">
        <v>277</v>
      </c>
      <c r="E931" s="18" t="s">
        <v>277</v>
      </c>
      <c r="F931" s="18" t="s">
        <v>277</v>
      </c>
      <c r="I931" s="18" t="s">
        <v>277</v>
      </c>
      <c r="J931" s="18" t="s">
        <v>277</v>
      </c>
      <c r="K931" s="18" t="s">
        <v>277</v>
      </c>
    </row>
    <row r="932">
      <c r="D932" s="18" t="s">
        <v>277</v>
      </c>
      <c r="E932" s="18" t="s">
        <v>277</v>
      </c>
      <c r="F932" s="18" t="s">
        <v>277</v>
      </c>
      <c r="I932" s="18" t="s">
        <v>277</v>
      </c>
      <c r="J932" s="18" t="s">
        <v>277</v>
      </c>
      <c r="K932" s="18" t="s">
        <v>277</v>
      </c>
    </row>
    <row r="933">
      <c r="D933" s="18" t="s">
        <v>277</v>
      </c>
      <c r="E933" s="18" t="s">
        <v>277</v>
      </c>
      <c r="F933" s="18" t="s">
        <v>277</v>
      </c>
      <c r="I933" s="18" t="s">
        <v>277</v>
      </c>
      <c r="J933" s="18" t="s">
        <v>277</v>
      </c>
      <c r="K933" s="18" t="s">
        <v>277</v>
      </c>
    </row>
    <row r="934">
      <c r="D934" s="18" t="s">
        <v>277</v>
      </c>
      <c r="E934" s="18" t="s">
        <v>277</v>
      </c>
      <c r="F934" s="18" t="s">
        <v>277</v>
      </c>
      <c r="I934" s="18" t="s">
        <v>277</v>
      </c>
      <c r="J934" s="18" t="s">
        <v>277</v>
      </c>
      <c r="K934" s="18" t="s">
        <v>277</v>
      </c>
    </row>
    <row r="935">
      <c r="D935" s="18" t="s">
        <v>277</v>
      </c>
      <c r="E935" s="18" t="s">
        <v>277</v>
      </c>
      <c r="F935" s="18" t="s">
        <v>277</v>
      </c>
      <c r="I935" s="18" t="s">
        <v>277</v>
      </c>
      <c r="J935" s="18" t="s">
        <v>277</v>
      </c>
      <c r="K935" s="18" t="s">
        <v>277</v>
      </c>
    </row>
    <row r="936">
      <c r="D936" s="18" t="s">
        <v>277</v>
      </c>
      <c r="E936" s="18" t="s">
        <v>277</v>
      </c>
      <c r="F936" s="18" t="s">
        <v>277</v>
      </c>
      <c r="I936" s="18" t="s">
        <v>277</v>
      </c>
      <c r="J936" s="18" t="s">
        <v>277</v>
      </c>
      <c r="K936" s="18" t="s">
        <v>277</v>
      </c>
    </row>
    <row r="937">
      <c r="D937" s="18" t="s">
        <v>277</v>
      </c>
      <c r="E937" s="18" t="s">
        <v>277</v>
      </c>
      <c r="F937" s="18" t="s">
        <v>277</v>
      </c>
      <c r="I937" s="18" t="s">
        <v>277</v>
      </c>
      <c r="J937" s="18" t="s">
        <v>277</v>
      </c>
      <c r="K937" s="18" t="s">
        <v>277</v>
      </c>
    </row>
    <row r="938">
      <c r="D938" s="18" t="s">
        <v>277</v>
      </c>
      <c r="E938" s="18" t="s">
        <v>277</v>
      </c>
      <c r="F938" s="18" t="s">
        <v>277</v>
      </c>
      <c r="I938" s="18" t="s">
        <v>277</v>
      </c>
      <c r="J938" s="18" t="s">
        <v>277</v>
      </c>
      <c r="K938" s="18" t="s">
        <v>277</v>
      </c>
    </row>
    <row r="939">
      <c r="D939" s="18" t="s">
        <v>277</v>
      </c>
      <c r="E939" s="18" t="s">
        <v>277</v>
      </c>
      <c r="F939" s="18" t="s">
        <v>277</v>
      </c>
      <c r="I939" s="18" t="s">
        <v>277</v>
      </c>
      <c r="J939" s="18" t="s">
        <v>277</v>
      </c>
      <c r="K939" s="18" t="s">
        <v>277</v>
      </c>
    </row>
    <row r="940">
      <c r="D940" s="18" t="s">
        <v>277</v>
      </c>
      <c r="E940" s="18" t="s">
        <v>277</v>
      </c>
      <c r="F940" s="18" t="s">
        <v>277</v>
      </c>
      <c r="I940" s="18" t="s">
        <v>277</v>
      </c>
      <c r="J940" s="18" t="s">
        <v>277</v>
      </c>
      <c r="K940" s="18" t="s">
        <v>277</v>
      </c>
    </row>
    <row r="941">
      <c r="D941" s="18" t="s">
        <v>277</v>
      </c>
      <c r="E941" s="18" t="s">
        <v>277</v>
      </c>
      <c r="F941" s="18" t="s">
        <v>277</v>
      </c>
      <c r="I941" s="18" t="s">
        <v>277</v>
      </c>
      <c r="J941" s="18" t="s">
        <v>277</v>
      </c>
      <c r="K941" s="18" t="s">
        <v>277</v>
      </c>
    </row>
    <row r="942">
      <c r="D942" s="18" t="s">
        <v>277</v>
      </c>
      <c r="E942" s="18" t="s">
        <v>277</v>
      </c>
      <c r="F942" s="18" t="s">
        <v>277</v>
      </c>
      <c r="I942" s="18" t="s">
        <v>277</v>
      </c>
      <c r="J942" s="18" t="s">
        <v>277</v>
      </c>
      <c r="K942" s="18" t="s">
        <v>277</v>
      </c>
    </row>
    <row r="943">
      <c r="D943" s="18" t="s">
        <v>277</v>
      </c>
      <c r="E943" s="18" t="s">
        <v>277</v>
      </c>
      <c r="F943" s="18" t="s">
        <v>277</v>
      </c>
      <c r="I943" s="18" t="s">
        <v>277</v>
      </c>
      <c r="J943" s="18" t="s">
        <v>277</v>
      </c>
      <c r="K943" s="18" t="s">
        <v>277</v>
      </c>
    </row>
    <row r="944">
      <c r="D944" s="18" t="s">
        <v>277</v>
      </c>
      <c r="E944" s="18" t="s">
        <v>277</v>
      </c>
      <c r="F944" s="18" t="s">
        <v>277</v>
      </c>
      <c r="I944" s="18" t="s">
        <v>277</v>
      </c>
      <c r="J944" s="18" t="s">
        <v>277</v>
      </c>
      <c r="K944" s="18" t="s">
        <v>277</v>
      </c>
    </row>
    <row r="945">
      <c r="D945" s="18" t="s">
        <v>277</v>
      </c>
      <c r="E945" s="18" t="s">
        <v>277</v>
      </c>
      <c r="F945" s="18" t="s">
        <v>277</v>
      </c>
      <c r="I945" s="18" t="s">
        <v>277</v>
      </c>
      <c r="J945" s="18" t="s">
        <v>277</v>
      </c>
      <c r="K945" s="18" t="s">
        <v>277</v>
      </c>
    </row>
    <row r="946">
      <c r="D946" s="18" t="s">
        <v>277</v>
      </c>
      <c r="E946" s="18" t="s">
        <v>277</v>
      </c>
      <c r="F946" s="18" t="s">
        <v>277</v>
      </c>
      <c r="I946" s="18" t="s">
        <v>277</v>
      </c>
      <c r="J946" s="18" t="s">
        <v>277</v>
      </c>
      <c r="K946" s="18" t="s">
        <v>277</v>
      </c>
    </row>
    <row r="947">
      <c r="D947" s="18" t="s">
        <v>277</v>
      </c>
      <c r="E947" s="18" t="s">
        <v>277</v>
      </c>
      <c r="F947" s="18" t="s">
        <v>277</v>
      </c>
      <c r="I947" s="18" t="s">
        <v>277</v>
      </c>
      <c r="J947" s="18" t="s">
        <v>277</v>
      </c>
      <c r="K947" s="18" t="s">
        <v>277</v>
      </c>
    </row>
    <row r="948">
      <c r="D948" s="18" t="s">
        <v>277</v>
      </c>
      <c r="E948" s="18" t="s">
        <v>277</v>
      </c>
      <c r="F948" s="18" t="s">
        <v>277</v>
      </c>
      <c r="I948" s="18" t="s">
        <v>277</v>
      </c>
      <c r="J948" s="18" t="s">
        <v>277</v>
      </c>
      <c r="K948" s="18" t="s">
        <v>277</v>
      </c>
    </row>
    <row r="949">
      <c r="D949" s="18" t="s">
        <v>277</v>
      </c>
      <c r="E949" s="18" t="s">
        <v>277</v>
      </c>
      <c r="F949" s="18" t="s">
        <v>277</v>
      </c>
      <c r="I949" s="18" t="s">
        <v>277</v>
      </c>
      <c r="J949" s="18" t="s">
        <v>277</v>
      </c>
      <c r="K949" s="18" t="s">
        <v>277</v>
      </c>
    </row>
    <row r="950">
      <c r="D950" s="18" t="s">
        <v>277</v>
      </c>
      <c r="E950" s="18" t="s">
        <v>277</v>
      </c>
      <c r="F950" s="18" t="s">
        <v>277</v>
      </c>
      <c r="I950" s="18" t="s">
        <v>277</v>
      </c>
      <c r="J950" s="18" t="s">
        <v>277</v>
      </c>
      <c r="K950" s="18" t="s">
        <v>277</v>
      </c>
    </row>
    <row r="951">
      <c r="D951" s="18" t="s">
        <v>277</v>
      </c>
      <c r="E951" s="18" t="s">
        <v>277</v>
      </c>
      <c r="F951" s="18" t="s">
        <v>277</v>
      </c>
      <c r="I951" s="18" t="s">
        <v>277</v>
      </c>
      <c r="J951" s="18" t="s">
        <v>277</v>
      </c>
      <c r="K951" s="18" t="s">
        <v>277</v>
      </c>
    </row>
    <row r="952">
      <c r="D952" s="18" t="s">
        <v>277</v>
      </c>
      <c r="E952" s="18" t="s">
        <v>277</v>
      </c>
      <c r="F952" s="18" t="s">
        <v>277</v>
      </c>
      <c r="I952" s="18" t="s">
        <v>277</v>
      </c>
      <c r="J952" s="18" t="s">
        <v>277</v>
      </c>
      <c r="K952" s="18" t="s">
        <v>277</v>
      </c>
    </row>
    <row r="953">
      <c r="D953" s="18" t="s">
        <v>277</v>
      </c>
      <c r="E953" s="18" t="s">
        <v>277</v>
      </c>
      <c r="F953" s="18" t="s">
        <v>277</v>
      </c>
      <c r="I953" s="18" t="s">
        <v>277</v>
      </c>
      <c r="J953" s="18" t="s">
        <v>277</v>
      </c>
      <c r="K953" s="18" t="s">
        <v>277</v>
      </c>
    </row>
    <row r="954">
      <c r="D954" s="18" t="s">
        <v>277</v>
      </c>
      <c r="E954" s="18" t="s">
        <v>277</v>
      </c>
      <c r="F954" s="18" t="s">
        <v>277</v>
      </c>
      <c r="I954" s="18" t="s">
        <v>277</v>
      </c>
      <c r="J954" s="18" t="s">
        <v>277</v>
      </c>
      <c r="K954" s="18" t="s">
        <v>277</v>
      </c>
    </row>
    <row r="955">
      <c r="D955" s="18" t="s">
        <v>277</v>
      </c>
      <c r="E955" s="18" t="s">
        <v>277</v>
      </c>
      <c r="F955" s="18" t="s">
        <v>277</v>
      </c>
      <c r="I955" s="18" t="s">
        <v>277</v>
      </c>
      <c r="J955" s="18" t="s">
        <v>277</v>
      </c>
      <c r="K955" s="18" t="s">
        <v>277</v>
      </c>
    </row>
    <row r="956">
      <c r="D956" s="18" t="s">
        <v>277</v>
      </c>
      <c r="E956" s="18" t="s">
        <v>277</v>
      </c>
      <c r="F956" s="18" t="s">
        <v>277</v>
      </c>
      <c r="I956" s="18" t="s">
        <v>277</v>
      </c>
      <c r="J956" s="18" t="s">
        <v>277</v>
      </c>
      <c r="K956" s="18" t="s">
        <v>277</v>
      </c>
    </row>
    <row r="957">
      <c r="D957" s="18" t="s">
        <v>277</v>
      </c>
      <c r="E957" s="18" t="s">
        <v>277</v>
      </c>
      <c r="F957" s="18" t="s">
        <v>277</v>
      </c>
      <c r="I957" s="18" t="s">
        <v>277</v>
      </c>
      <c r="J957" s="18" t="s">
        <v>277</v>
      </c>
      <c r="K957" s="18" t="s">
        <v>277</v>
      </c>
    </row>
    <row r="958">
      <c r="D958" s="18" t="s">
        <v>277</v>
      </c>
      <c r="E958" s="18" t="s">
        <v>277</v>
      </c>
      <c r="F958" s="18" t="s">
        <v>277</v>
      </c>
      <c r="I958" s="18" t="s">
        <v>277</v>
      </c>
      <c r="J958" s="18" t="s">
        <v>277</v>
      </c>
      <c r="K958" s="18" t="s">
        <v>277</v>
      </c>
    </row>
    <row r="959">
      <c r="D959" s="18" t="s">
        <v>277</v>
      </c>
      <c r="E959" s="18" t="s">
        <v>277</v>
      </c>
      <c r="F959" s="18" t="s">
        <v>277</v>
      </c>
      <c r="I959" s="18" t="s">
        <v>277</v>
      </c>
      <c r="J959" s="18" t="s">
        <v>277</v>
      </c>
      <c r="K959" s="18" t="s">
        <v>277</v>
      </c>
    </row>
    <row r="960">
      <c r="D960" s="18" t="s">
        <v>277</v>
      </c>
      <c r="E960" s="18" t="s">
        <v>277</v>
      </c>
      <c r="F960" s="18" t="s">
        <v>277</v>
      </c>
      <c r="I960" s="18" t="s">
        <v>277</v>
      </c>
      <c r="J960" s="18" t="s">
        <v>277</v>
      </c>
      <c r="K960" s="18" t="s">
        <v>277</v>
      </c>
    </row>
    <row r="961">
      <c r="D961" s="18" t="s">
        <v>277</v>
      </c>
      <c r="E961" s="18" t="s">
        <v>277</v>
      </c>
      <c r="F961" s="18" t="s">
        <v>277</v>
      </c>
      <c r="I961" s="18" t="s">
        <v>277</v>
      </c>
      <c r="J961" s="18" t="s">
        <v>277</v>
      </c>
      <c r="K961" s="18" t="s">
        <v>277</v>
      </c>
    </row>
    <row r="962">
      <c r="D962" s="18" t="s">
        <v>277</v>
      </c>
      <c r="E962" s="18" t="s">
        <v>277</v>
      </c>
      <c r="F962" s="18" t="s">
        <v>277</v>
      </c>
      <c r="I962" s="18" t="s">
        <v>277</v>
      </c>
      <c r="J962" s="18" t="s">
        <v>277</v>
      </c>
      <c r="K962" s="18" t="s">
        <v>277</v>
      </c>
    </row>
    <row r="963">
      <c r="D963" s="18" t="s">
        <v>277</v>
      </c>
      <c r="E963" s="18" t="s">
        <v>277</v>
      </c>
      <c r="F963" s="18" t="s">
        <v>277</v>
      </c>
      <c r="I963" s="18" t="s">
        <v>277</v>
      </c>
      <c r="J963" s="18" t="s">
        <v>277</v>
      </c>
      <c r="K963" s="18" t="s">
        <v>277</v>
      </c>
    </row>
    <row r="964">
      <c r="D964" s="18" t="s">
        <v>277</v>
      </c>
      <c r="E964" s="18" t="s">
        <v>277</v>
      </c>
      <c r="F964" s="18" t="s">
        <v>277</v>
      </c>
      <c r="I964" s="18" t="s">
        <v>277</v>
      </c>
      <c r="J964" s="18" t="s">
        <v>277</v>
      </c>
      <c r="K964" s="18" t="s">
        <v>277</v>
      </c>
    </row>
    <row r="965">
      <c r="D965" s="18" t="s">
        <v>277</v>
      </c>
      <c r="E965" s="18" t="s">
        <v>277</v>
      </c>
      <c r="F965" s="18" t="s">
        <v>277</v>
      </c>
      <c r="I965" s="18" t="s">
        <v>277</v>
      </c>
      <c r="J965" s="18" t="s">
        <v>277</v>
      </c>
      <c r="K965" s="18" t="s">
        <v>277</v>
      </c>
    </row>
    <row r="966">
      <c r="D966" s="18" t="s">
        <v>277</v>
      </c>
      <c r="E966" s="18" t="s">
        <v>277</v>
      </c>
      <c r="F966" s="18" t="s">
        <v>277</v>
      </c>
      <c r="I966" s="18" t="s">
        <v>277</v>
      </c>
      <c r="J966" s="18" t="s">
        <v>277</v>
      </c>
      <c r="K966" s="18" t="s">
        <v>277</v>
      </c>
    </row>
    <row r="967">
      <c r="D967" s="18" t="s">
        <v>277</v>
      </c>
      <c r="E967" s="18" t="s">
        <v>277</v>
      </c>
      <c r="F967" s="18" t="s">
        <v>277</v>
      </c>
      <c r="I967" s="18" t="s">
        <v>277</v>
      </c>
      <c r="J967" s="18" t="s">
        <v>277</v>
      </c>
      <c r="K967" s="18" t="s">
        <v>277</v>
      </c>
    </row>
    <row r="968">
      <c r="D968" s="18" t="s">
        <v>277</v>
      </c>
      <c r="E968" s="18" t="s">
        <v>277</v>
      </c>
      <c r="F968" s="18" t="s">
        <v>277</v>
      </c>
      <c r="I968" s="18" t="s">
        <v>277</v>
      </c>
      <c r="J968" s="18" t="s">
        <v>277</v>
      </c>
      <c r="K968" s="18" t="s">
        <v>277</v>
      </c>
    </row>
    <row r="969">
      <c r="D969" s="18" t="s">
        <v>277</v>
      </c>
      <c r="E969" s="18" t="s">
        <v>277</v>
      </c>
      <c r="F969" s="18" t="s">
        <v>277</v>
      </c>
      <c r="I969" s="18" t="s">
        <v>277</v>
      </c>
      <c r="J969" s="18" t="s">
        <v>277</v>
      </c>
      <c r="K969" s="18" t="s">
        <v>277</v>
      </c>
    </row>
    <row r="970">
      <c r="D970" s="18" t="s">
        <v>277</v>
      </c>
      <c r="E970" s="18" t="s">
        <v>277</v>
      </c>
      <c r="F970" s="18" t="s">
        <v>277</v>
      </c>
      <c r="I970" s="18" t="s">
        <v>277</v>
      </c>
      <c r="J970" s="18" t="s">
        <v>277</v>
      </c>
      <c r="K970" s="18" t="s">
        <v>277</v>
      </c>
    </row>
    <row r="971">
      <c r="D971" s="18" t="s">
        <v>277</v>
      </c>
      <c r="E971" s="18" t="s">
        <v>277</v>
      </c>
      <c r="F971" s="18" t="s">
        <v>277</v>
      </c>
      <c r="I971" s="18" t="s">
        <v>277</v>
      </c>
      <c r="J971" s="18" t="s">
        <v>277</v>
      </c>
      <c r="K971" s="18" t="s">
        <v>277</v>
      </c>
    </row>
    <row r="972">
      <c r="D972" s="18" t="s">
        <v>277</v>
      </c>
      <c r="E972" s="18" t="s">
        <v>277</v>
      </c>
      <c r="F972" s="18" t="s">
        <v>277</v>
      </c>
      <c r="I972" s="18" t="s">
        <v>277</v>
      </c>
      <c r="J972" s="18" t="s">
        <v>277</v>
      </c>
      <c r="K972" s="18" t="s">
        <v>277</v>
      </c>
    </row>
    <row r="973">
      <c r="D973" s="18" t="s">
        <v>277</v>
      </c>
      <c r="E973" s="18" t="s">
        <v>277</v>
      </c>
      <c r="F973" s="18" t="s">
        <v>277</v>
      </c>
      <c r="I973" s="18" t="s">
        <v>277</v>
      </c>
      <c r="J973" s="18" t="s">
        <v>277</v>
      </c>
      <c r="K973" s="18" t="s">
        <v>277</v>
      </c>
    </row>
    <row r="974">
      <c r="D974" s="18" t="s">
        <v>277</v>
      </c>
      <c r="E974" s="18" t="s">
        <v>277</v>
      </c>
      <c r="F974" s="18" t="s">
        <v>277</v>
      </c>
      <c r="I974" s="18" t="s">
        <v>277</v>
      </c>
      <c r="J974" s="18" t="s">
        <v>277</v>
      </c>
      <c r="K974" s="18" t="s">
        <v>277</v>
      </c>
    </row>
    <row r="975">
      <c r="D975" s="18" t="s">
        <v>277</v>
      </c>
      <c r="E975" s="18" t="s">
        <v>277</v>
      </c>
      <c r="F975" s="18" t="s">
        <v>277</v>
      </c>
      <c r="I975" s="18" t="s">
        <v>277</v>
      </c>
      <c r="J975" s="18" t="s">
        <v>277</v>
      </c>
      <c r="K975" s="18" t="s">
        <v>277</v>
      </c>
    </row>
    <row r="976">
      <c r="D976" s="18" t="s">
        <v>277</v>
      </c>
      <c r="E976" s="18" t="s">
        <v>277</v>
      </c>
      <c r="F976" s="18" t="s">
        <v>277</v>
      </c>
      <c r="I976" s="18" t="s">
        <v>277</v>
      </c>
      <c r="J976" s="18" t="s">
        <v>277</v>
      </c>
      <c r="K976" s="18" t="s">
        <v>277</v>
      </c>
    </row>
    <row r="977">
      <c r="D977" s="18" t="s">
        <v>277</v>
      </c>
      <c r="E977" s="18" t="s">
        <v>277</v>
      </c>
      <c r="F977" s="18" t="s">
        <v>277</v>
      </c>
      <c r="I977" s="18" t="s">
        <v>277</v>
      </c>
      <c r="J977" s="18" t="s">
        <v>277</v>
      </c>
      <c r="K977" s="18" t="s">
        <v>277</v>
      </c>
    </row>
    <row r="978">
      <c r="D978" s="18" t="s">
        <v>277</v>
      </c>
      <c r="E978" s="18" t="s">
        <v>277</v>
      </c>
      <c r="F978" s="18" t="s">
        <v>277</v>
      </c>
      <c r="I978" s="18" t="s">
        <v>277</v>
      </c>
      <c r="J978" s="18" t="s">
        <v>277</v>
      </c>
      <c r="K978" s="18" t="s">
        <v>277</v>
      </c>
    </row>
    <row r="979">
      <c r="D979" s="18" t="s">
        <v>277</v>
      </c>
      <c r="E979" s="18" t="s">
        <v>277</v>
      </c>
      <c r="F979" s="18" t="s">
        <v>277</v>
      </c>
      <c r="I979" s="18" t="s">
        <v>277</v>
      </c>
      <c r="J979" s="18" t="s">
        <v>277</v>
      </c>
      <c r="K979" s="18" t="s">
        <v>277</v>
      </c>
    </row>
    <row r="980">
      <c r="D980" s="18" t="s">
        <v>277</v>
      </c>
      <c r="E980" s="18" t="s">
        <v>277</v>
      </c>
      <c r="F980" s="18" t="s">
        <v>277</v>
      </c>
      <c r="I980" s="18" t="s">
        <v>277</v>
      </c>
      <c r="J980" s="18" t="s">
        <v>277</v>
      </c>
      <c r="K980" s="18" t="s">
        <v>277</v>
      </c>
    </row>
    <row r="981">
      <c r="D981" s="18" t="s">
        <v>277</v>
      </c>
      <c r="E981" s="18" t="s">
        <v>277</v>
      </c>
      <c r="F981" s="18" t="s">
        <v>277</v>
      </c>
      <c r="I981" s="18" t="s">
        <v>277</v>
      </c>
      <c r="J981" s="18" t="s">
        <v>277</v>
      </c>
      <c r="K981" s="18" t="s">
        <v>277</v>
      </c>
    </row>
    <row r="982">
      <c r="D982" s="18" t="s">
        <v>277</v>
      </c>
      <c r="E982" s="18" t="s">
        <v>277</v>
      </c>
      <c r="F982" s="18" t="s">
        <v>277</v>
      </c>
      <c r="I982" s="18" t="s">
        <v>277</v>
      </c>
      <c r="J982" s="18" t="s">
        <v>277</v>
      </c>
      <c r="K982" s="18" t="s">
        <v>277</v>
      </c>
    </row>
    <row r="983">
      <c r="D983" s="18" t="s">
        <v>277</v>
      </c>
      <c r="E983" s="18" t="s">
        <v>277</v>
      </c>
      <c r="F983" s="18" t="s">
        <v>277</v>
      </c>
      <c r="I983" s="18" t="s">
        <v>277</v>
      </c>
      <c r="J983" s="18" t="s">
        <v>277</v>
      </c>
      <c r="K983" s="18" t="s">
        <v>277</v>
      </c>
    </row>
    <row r="984">
      <c r="D984" s="18" t="s">
        <v>277</v>
      </c>
      <c r="E984" s="18" t="s">
        <v>277</v>
      </c>
      <c r="F984" s="18" t="s">
        <v>277</v>
      </c>
      <c r="I984" s="18" t="s">
        <v>277</v>
      </c>
      <c r="J984" s="18" t="s">
        <v>277</v>
      </c>
      <c r="K984" s="18" t="s">
        <v>277</v>
      </c>
    </row>
    <row r="985">
      <c r="D985" s="18" t="s">
        <v>277</v>
      </c>
      <c r="E985" s="18" t="s">
        <v>277</v>
      </c>
      <c r="F985" s="18" t="s">
        <v>277</v>
      </c>
      <c r="I985" s="18" t="s">
        <v>277</v>
      </c>
      <c r="J985" s="18" t="s">
        <v>277</v>
      </c>
      <c r="K985" s="18" t="s">
        <v>277</v>
      </c>
    </row>
    <row r="986">
      <c r="D986" s="18" t="s">
        <v>277</v>
      </c>
      <c r="E986" s="18" t="s">
        <v>277</v>
      </c>
      <c r="F986" s="18" t="s">
        <v>277</v>
      </c>
      <c r="I986" s="18" t="s">
        <v>277</v>
      </c>
      <c r="J986" s="18" t="s">
        <v>277</v>
      </c>
      <c r="K986" s="18" t="s">
        <v>277</v>
      </c>
    </row>
    <row r="987">
      <c r="D987" s="18" t="s">
        <v>277</v>
      </c>
      <c r="E987" s="18" t="s">
        <v>277</v>
      </c>
      <c r="F987" s="18" t="s">
        <v>277</v>
      </c>
      <c r="I987" s="18" t="s">
        <v>277</v>
      </c>
      <c r="J987" s="18" t="s">
        <v>277</v>
      </c>
      <c r="K987" s="18" t="s">
        <v>277</v>
      </c>
    </row>
    <row r="988">
      <c r="D988" s="18" t="s">
        <v>277</v>
      </c>
      <c r="E988" s="18" t="s">
        <v>277</v>
      </c>
      <c r="F988" s="18" t="s">
        <v>277</v>
      </c>
      <c r="I988" s="18" t="s">
        <v>277</v>
      </c>
      <c r="J988" s="18" t="s">
        <v>277</v>
      </c>
      <c r="K988" s="18" t="s">
        <v>277</v>
      </c>
    </row>
    <row r="989">
      <c r="D989" s="18" t="s">
        <v>277</v>
      </c>
      <c r="E989" s="18" t="s">
        <v>277</v>
      </c>
      <c r="F989" s="18" t="s">
        <v>277</v>
      </c>
      <c r="I989" s="18" t="s">
        <v>277</v>
      </c>
      <c r="J989" s="18" t="s">
        <v>277</v>
      </c>
      <c r="K989" s="18" t="s">
        <v>277</v>
      </c>
    </row>
    <row r="990">
      <c r="D990" s="18" t="s">
        <v>277</v>
      </c>
      <c r="E990" s="18" t="s">
        <v>277</v>
      </c>
      <c r="F990" s="18" t="s">
        <v>277</v>
      </c>
      <c r="I990" s="18" t="s">
        <v>277</v>
      </c>
      <c r="J990" s="18" t="s">
        <v>277</v>
      </c>
      <c r="K990" s="18" t="s">
        <v>277</v>
      </c>
    </row>
    <row r="991">
      <c r="D991" s="18" t="s">
        <v>277</v>
      </c>
      <c r="E991" s="18" t="s">
        <v>277</v>
      </c>
      <c r="F991" s="18" t="s">
        <v>277</v>
      </c>
      <c r="I991" s="18" t="s">
        <v>277</v>
      </c>
      <c r="J991" s="18" t="s">
        <v>277</v>
      </c>
      <c r="K991" s="18" t="s">
        <v>277</v>
      </c>
    </row>
    <row r="992">
      <c r="D992" s="18" t="s">
        <v>277</v>
      </c>
      <c r="E992" s="18" t="s">
        <v>277</v>
      </c>
      <c r="F992" s="18" t="s">
        <v>277</v>
      </c>
      <c r="I992" s="18" t="s">
        <v>277</v>
      </c>
      <c r="J992" s="18" t="s">
        <v>277</v>
      </c>
      <c r="K992" s="18" t="s">
        <v>277</v>
      </c>
    </row>
    <row r="993">
      <c r="D993" s="18" t="s">
        <v>277</v>
      </c>
      <c r="E993" s="18" t="s">
        <v>277</v>
      </c>
      <c r="F993" s="18" t="s">
        <v>277</v>
      </c>
      <c r="I993" s="18" t="s">
        <v>277</v>
      </c>
      <c r="J993" s="18" t="s">
        <v>277</v>
      </c>
      <c r="K993" s="18" t="s">
        <v>277</v>
      </c>
    </row>
    <row r="994">
      <c r="D994" s="18" t="s">
        <v>277</v>
      </c>
      <c r="E994" s="18" t="s">
        <v>277</v>
      </c>
      <c r="F994" s="18" t="s">
        <v>277</v>
      </c>
      <c r="I994" s="18" t="s">
        <v>277</v>
      </c>
      <c r="J994" s="18" t="s">
        <v>277</v>
      </c>
      <c r="K994" s="18" t="s">
        <v>277</v>
      </c>
    </row>
    <row r="995">
      <c r="D995" s="18" t="s">
        <v>277</v>
      </c>
      <c r="E995" s="18" t="s">
        <v>277</v>
      </c>
      <c r="F995" s="18" t="s">
        <v>277</v>
      </c>
      <c r="I995" s="18" t="s">
        <v>277</v>
      </c>
      <c r="J995" s="18" t="s">
        <v>277</v>
      </c>
      <c r="K995" s="18" t="s">
        <v>277</v>
      </c>
    </row>
    <row r="996">
      <c r="D996" s="18" t="s">
        <v>277</v>
      </c>
      <c r="E996" s="18" t="s">
        <v>277</v>
      </c>
      <c r="F996" s="18" t="s">
        <v>277</v>
      </c>
      <c r="I996" s="18" t="s">
        <v>277</v>
      </c>
      <c r="J996" s="18" t="s">
        <v>277</v>
      </c>
      <c r="K996" s="18" t="s">
        <v>277</v>
      </c>
    </row>
    <row r="997">
      <c r="D997" s="18" t="s">
        <v>277</v>
      </c>
      <c r="E997" s="18" t="s">
        <v>277</v>
      </c>
      <c r="F997" s="18" t="s">
        <v>277</v>
      </c>
      <c r="I997" s="18" t="s">
        <v>277</v>
      </c>
      <c r="J997" s="18" t="s">
        <v>277</v>
      </c>
      <c r="K997" s="18" t="s">
        <v>277</v>
      </c>
    </row>
    <row r="998">
      <c r="D998" s="18" t="s">
        <v>277</v>
      </c>
      <c r="E998" s="18" t="s">
        <v>277</v>
      </c>
      <c r="F998" s="18" t="s">
        <v>277</v>
      </c>
      <c r="I998" s="18" t="s">
        <v>277</v>
      </c>
      <c r="J998" s="18" t="s">
        <v>277</v>
      </c>
      <c r="K998" s="18" t="s">
        <v>277</v>
      </c>
    </row>
    <row r="999">
      <c r="D999" s="18" t="s">
        <v>277</v>
      </c>
      <c r="E999" s="18" t="s">
        <v>277</v>
      </c>
      <c r="F999" s="18" t="s">
        <v>277</v>
      </c>
      <c r="I999" s="18" t="s">
        <v>277</v>
      </c>
      <c r="J999" s="18" t="s">
        <v>277</v>
      </c>
      <c r="K999" s="18" t="s">
        <v>277</v>
      </c>
    </row>
    <row r="1000">
      <c r="D1000" s="18" t="s">
        <v>277</v>
      </c>
      <c r="E1000" s="18" t="s">
        <v>277</v>
      </c>
      <c r="F1000" s="18" t="s">
        <v>277</v>
      </c>
      <c r="I1000" s="18" t="s">
        <v>277</v>
      </c>
      <c r="J1000" s="18" t="s">
        <v>277</v>
      </c>
      <c r="K1000" s="18" t="s">
        <v>277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113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15.38"/>
    <col customWidth="1" min="3" max="3" width="15.63"/>
    <col customWidth="1" min="4" max="4" width="20.75"/>
    <col customWidth="1" min="5" max="5" width="24.5"/>
    <col customWidth="1" min="6" max="6" width="19.63"/>
  </cols>
  <sheetData>
    <row r="1">
      <c r="A1" s="241" t="s">
        <v>3</v>
      </c>
      <c r="B1" s="241" t="s">
        <v>211</v>
      </c>
      <c r="C1" s="241" t="s">
        <v>212</v>
      </c>
      <c r="D1" s="241" t="s">
        <v>213</v>
      </c>
      <c r="E1" s="241" t="s">
        <v>256</v>
      </c>
    </row>
    <row r="2">
      <c r="A2" s="7" t="s">
        <v>257</v>
      </c>
      <c r="B2" s="7" t="s">
        <v>242</v>
      </c>
      <c r="C2" s="7" t="s">
        <v>258</v>
      </c>
      <c r="D2" s="7" t="s">
        <v>259</v>
      </c>
      <c r="E2" s="7" t="s">
        <v>260</v>
      </c>
    </row>
    <row r="3">
      <c r="A3" s="7" t="s">
        <v>257</v>
      </c>
      <c r="B3" s="7" t="s">
        <v>238</v>
      </c>
      <c r="C3" s="7" t="s">
        <v>258</v>
      </c>
      <c r="D3" s="7" t="s">
        <v>261</v>
      </c>
      <c r="E3" s="7" t="s">
        <v>262</v>
      </c>
    </row>
    <row r="4">
      <c r="A4" s="7" t="s">
        <v>263</v>
      </c>
      <c r="B4" s="7" t="s">
        <v>242</v>
      </c>
      <c r="C4" s="7" t="s">
        <v>258</v>
      </c>
      <c r="D4" s="7" t="s">
        <v>264</v>
      </c>
      <c r="E4" s="7" t="s">
        <v>265</v>
      </c>
    </row>
    <row r="5">
      <c r="A5" s="19">
        <v>46243.0</v>
      </c>
      <c r="B5" s="7" t="s">
        <v>240</v>
      </c>
      <c r="C5" s="7" t="s">
        <v>267</v>
      </c>
      <c r="D5" s="7" t="s">
        <v>268</v>
      </c>
      <c r="E5" s="7" t="s">
        <v>260</v>
      </c>
    </row>
    <row r="6">
      <c r="A6" s="19"/>
      <c r="B6" s="18"/>
      <c r="C6" s="18"/>
    </row>
    <row r="7">
      <c r="A7" s="19"/>
      <c r="B7" s="18"/>
      <c r="C7" s="18"/>
    </row>
    <row r="8">
      <c r="A8" s="19"/>
      <c r="B8" s="18"/>
      <c r="C8" s="18"/>
    </row>
    <row r="9">
      <c r="A9" s="19"/>
      <c r="B9" s="18"/>
      <c r="C9" s="18"/>
    </row>
    <row r="10">
      <c r="A10" s="19"/>
      <c r="B10" s="18"/>
      <c r="C10" s="18"/>
    </row>
    <row r="11">
      <c r="A11" s="17"/>
      <c r="B11" s="18"/>
      <c r="C11" s="18"/>
    </row>
    <row r="12">
      <c r="A12" s="17"/>
      <c r="B12" s="18"/>
      <c r="C12" s="18"/>
    </row>
    <row r="13">
      <c r="A13" s="17"/>
      <c r="B13" s="18"/>
      <c r="C13" s="18"/>
    </row>
    <row r="14">
      <c r="A14" s="17"/>
      <c r="B14" s="18"/>
      <c r="C14" s="18"/>
    </row>
    <row r="15">
      <c r="A15" s="17"/>
      <c r="B15" s="18"/>
      <c r="C15" s="18"/>
    </row>
    <row r="16">
      <c r="A16" s="17"/>
      <c r="B16" s="18"/>
      <c r="C16" s="18"/>
    </row>
    <row r="17">
      <c r="A17" s="17"/>
      <c r="B17" s="18"/>
      <c r="C17" s="18"/>
    </row>
    <row r="18">
      <c r="A18" s="17"/>
      <c r="B18" s="18"/>
      <c r="C18" s="18"/>
    </row>
    <row r="19">
      <c r="A19" s="17"/>
      <c r="B19" s="18"/>
      <c r="C19" s="18"/>
    </row>
    <row r="20">
      <c r="A20" s="17"/>
      <c r="B20" s="18"/>
      <c r="C20" s="18"/>
    </row>
    <row r="21">
      <c r="A21" s="17"/>
      <c r="B21" s="18"/>
      <c r="C21" s="18"/>
    </row>
    <row r="22">
      <c r="A22" s="17"/>
      <c r="B22" s="18"/>
      <c r="C22" s="18"/>
    </row>
    <row r="23">
      <c r="A23" s="17"/>
      <c r="B23" s="18"/>
      <c r="C23" s="18"/>
    </row>
    <row r="24">
      <c r="A24" s="17"/>
      <c r="B24" s="18"/>
      <c r="C24" s="18"/>
    </row>
    <row r="25">
      <c r="A25" s="17"/>
      <c r="B25" s="18"/>
      <c r="C25" s="18"/>
    </row>
    <row r="26">
      <c r="A26" s="17"/>
      <c r="B26" s="18"/>
      <c r="C26" s="18"/>
    </row>
    <row r="27">
      <c r="A27" s="17"/>
      <c r="B27" s="18"/>
      <c r="C27" s="18"/>
    </row>
    <row r="28">
      <c r="A28" s="17"/>
      <c r="B28" s="18"/>
      <c r="C28" s="18"/>
    </row>
    <row r="29">
      <c r="A29" s="17"/>
      <c r="B29" s="18"/>
      <c r="C29" s="18"/>
    </row>
    <row r="30">
      <c r="A30" s="17"/>
      <c r="B30" s="18"/>
      <c r="C30" s="18"/>
    </row>
    <row r="31">
      <c r="A31" s="17"/>
      <c r="B31" s="18"/>
      <c r="C31" s="18"/>
    </row>
    <row r="32">
      <c r="A32" s="17"/>
      <c r="B32" s="18"/>
      <c r="C32" s="18"/>
    </row>
    <row r="33">
      <c r="A33" s="17"/>
      <c r="B33" s="18"/>
      <c r="C33" s="18"/>
    </row>
    <row r="34">
      <c r="A34" s="17"/>
      <c r="B34" s="18"/>
      <c r="C34" s="18"/>
    </row>
    <row r="35">
      <c r="A35" s="17"/>
      <c r="B35" s="18"/>
      <c r="C35" s="18"/>
    </row>
    <row r="36">
      <c r="A36" s="17"/>
      <c r="B36" s="18"/>
      <c r="C36" s="18"/>
    </row>
    <row r="37">
      <c r="A37" s="17"/>
      <c r="B37" s="18"/>
      <c r="C37" s="18"/>
    </row>
    <row r="38">
      <c r="A38" s="17"/>
      <c r="B38" s="18"/>
      <c r="C38" s="18"/>
    </row>
    <row r="39">
      <c r="A39" s="17"/>
      <c r="B39" s="18"/>
      <c r="C39" s="18"/>
    </row>
    <row r="40">
      <c r="A40" s="17"/>
      <c r="B40" s="18"/>
      <c r="C40" s="18"/>
    </row>
    <row r="41">
      <c r="A41" s="17"/>
      <c r="B41" s="18"/>
      <c r="C41" s="18"/>
    </row>
    <row r="42">
      <c r="A42" s="17"/>
      <c r="B42" s="18"/>
      <c r="C42" s="18"/>
    </row>
    <row r="43">
      <c r="A43" s="17"/>
      <c r="B43" s="18"/>
      <c r="C43" s="18"/>
    </row>
    <row r="44">
      <c r="A44" s="17"/>
      <c r="B44" s="18"/>
      <c r="C44" s="18"/>
    </row>
    <row r="45">
      <c r="A45" s="17"/>
      <c r="B45" s="18"/>
      <c r="C45" s="18"/>
    </row>
    <row r="46">
      <c r="A46" s="17"/>
      <c r="B46" s="18"/>
      <c r="C46" s="18"/>
    </row>
    <row r="47">
      <c r="A47" s="17"/>
      <c r="B47" s="18"/>
      <c r="C47" s="18"/>
    </row>
    <row r="48">
      <c r="A48" s="17"/>
      <c r="B48" s="18"/>
      <c r="C48" s="18"/>
    </row>
    <row r="49">
      <c r="A49" s="17"/>
      <c r="B49" s="18"/>
      <c r="C49" s="18"/>
    </row>
    <row r="50">
      <c r="A50" s="17"/>
      <c r="B50" s="18"/>
      <c r="C50" s="18"/>
    </row>
    <row r="51">
      <c r="A51" s="17"/>
      <c r="B51" s="18"/>
      <c r="C51" s="18"/>
    </row>
    <row r="52">
      <c r="A52" s="17"/>
      <c r="B52" s="18"/>
      <c r="C52" s="18"/>
    </row>
    <row r="53">
      <c r="A53" s="17"/>
      <c r="B53" s="18"/>
      <c r="C53" s="18"/>
    </row>
    <row r="54">
      <c r="A54" s="17"/>
      <c r="B54" s="18"/>
      <c r="C54" s="18"/>
    </row>
    <row r="55">
      <c r="A55" s="17"/>
      <c r="B55" s="18"/>
      <c r="C55" s="18"/>
    </row>
    <row r="56">
      <c r="A56" s="17"/>
      <c r="B56" s="18"/>
      <c r="C56" s="18"/>
    </row>
    <row r="57">
      <c r="A57" s="17"/>
      <c r="B57" s="18"/>
      <c r="C57" s="18"/>
    </row>
    <row r="58">
      <c r="A58" s="17"/>
      <c r="B58" s="18"/>
      <c r="C58" s="18"/>
    </row>
    <row r="59">
      <c r="A59" s="17"/>
      <c r="B59" s="18"/>
      <c r="C59" s="18"/>
    </row>
    <row r="60">
      <c r="A60" s="17"/>
      <c r="B60" s="18"/>
      <c r="C60" s="18"/>
    </row>
    <row r="61">
      <c r="A61" s="17"/>
      <c r="B61" s="18"/>
      <c r="C61" s="18"/>
    </row>
    <row r="62">
      <c r="A62" s="17"/>
      <c r="B62" s="18"/>
      <c r="C62" s="18"/>
    </row>
    <row r="63">
      <c r="A63" s="17"/>
      <c r="B63" s="18"/>
      <c r="C63" s="18"/>
    </row>
    <row r="64">
      <c r="A64" s="17"/>
      <c r="B64" s="18"/>
      <c r="C64" s="18"/>
    </row>
    <row r="65">
      <c r="A65" s="17"/>
      <c r="B65" s="18"/>
      <c r="C65" s="18"/>
    </row>
    <row r="66">
      <c r="A66" s="17"/>
      <c r="B66" s="18"/>
      <c r="C66" s="18"/>
    </row>
    <row r="67">
      <c r="A67" s="17"/>
      <c r="B67" s="18"/>
      <c r="C67" s="18"/>
    </row>
    <row r="68">
      <c r="A68" s="17"/>
      <c r="B68" s="18"/>
      <c r="C68" s="18"/>
    </row>
    <row r="69">
      <c r="A69" s="17"/>
      <c r="B69" s="18"/>
      <c r="C69" s="18"/>
    </row>
    <row r="70">
      <c r="A70" s="17"/>
      <c r="B70" s="18"/>
      <c r="C70" s="18"/>
    </row>
    <row r="71">
      <c r="A71" s="17"/>
      <c r="B71" s="18"/>
      <c r="C71" s="18"/>
    </row>
    <row r="72">
      <c r="A72" s="17"/>
      <c r="B72" s="18"/>
      <c r="C72" s="18"/>
    </row>
    <row r="73">
      <c r="A73" s="17"/>
      <c r="B73" s="18"/>
      <c r="C73" s="18"/>
    </row>
    <row r="74">
      <c r="A74" s="17"/>
      <c r="B74" s="18"/>
      <c r="C74" s="18"/>
    </row>
    <row r="75">
      <c r="A75" s="17"/>
      <c r="B75" s="18"/>
      <c r="C75" s="18"/>
    </row>
    <row r="76">
      <c r="A76" s="17"/>
      <c r="B76" s="18"/>
      <c r="C76" s="18"/>
    </row>
    <row r="77">
      <c r="A77" s="17"/>
      <c r="B77" s="18"/>
      <c r="C77" s="18"/>
    </row>
    <row r="78">
      <c r="A78" s="17"/>
      <c r="B78" s="18"/>
      <c r="C78" s="18"/>
    </row>
    <row r="79">
      <c r="A79" s="17"/>
      <c r="B79" s="18"/>
      <c r="C79" s="18"/>
    </row>
    <row r="80">
      <c r="A80" s="17"/>
      <c r="B80" s="18"/>
      <c r="C80" s="18"/>
    </row>
    <row r="81">
      <c r="A81" s="17"/>
      <c r="B81" s="18"/>
      <c r="C81" s="18"/>
    </row>
    <row r="82">
      <c r="A82" s="17"/>
      <c r="B82" s="18"/>
      <c r="C82" s="18"/>
    </row>
    <row r="83">
      <c r="A83" s="17"/>
      <c r="B83" s="18"/>
      <c r="C83" s="18"/>
    </row>
    <row r="84">
      <c r="A84" s="17"/>
      <c r="B84" s="18"/>
      <c r="C84" s="18"/>
    </row>
    <row r="85">
      <c r="A85" s="17"/>
      <c r="B85" s="18"/>
      <c r="C85" s="18"/>
    </row>
    <row r="86">
      <c r="A86" s="17"/>
      <c r="B86" s="18"/>
      <c r="C86" s="18"/>
    </row>
    <row r="87">
      <c r="A87" s="17"/>
      <c r="B87" s="18"/>
      <c r="C87" s="18"/>
    </row>
    <row r="88">
      <c r="A88" s="17"/>
      <c r="B88" s="18"/>
      <c r="C88" s="18"/>
    </row>
    <row r="89">
      <c r="A89" s="17"/>
      <c r="B89" s="18"/>
      <c r="C89" s="18"/>
    </row>
    <row r="90">
      <c r="A90" s="17"/>
      <c r="B90" s="18"/>
      <c r="C90" s="18"/>
    </row>
    <row r="91">
      <c r="A91" s="17"/>
      <c r="B91" s="18"/>
      <c r="C91" s="18"/>
    </row>
    <row r="92">
      <c r="A92" s="17"/>
      <c r="B92" s="18"/>
      <c r="C92" s="18"/>
    </row>
    <row r="93">
      <c r="A93" s="17"/>
      <c r="B93" s="18"/>
      <c r="C93" s="18"/>
    </row>
    <row r="94">
      <c r="A94" s="17"/>
      <c r="B94" s="18"/>
      <c r="C94" s="18"/>
    </row>
    <row r="95">
      <c r="A95" s="17"/>
      <c r="B95" s="18"/>
      <c r="C95" s="18"/>
    </row>
    <row r="96">
      <c r="A96" s="17"/>
      <c r="B96" s="18"/>
      <c r="C96" s="18"/>
    </row>
    <row r="97">
      <c r="A97" s="17"/>
      <c r="B97" s="18"/>
      <c r="C97" s="18"/>
    </row>
    <row r="98">
      <c r="A98" s="17"/>
      <c r="B98" s="18"/>
      <c r="C98" s="18"/>
    </row>
    <row r="99">
      <c r="A99" s="17"/>
      <c r="B99" s="18"/>
      <c r="C99" s="18"/>
    </row>
    <row r="100">
      <c r="A100" s="17"/>
      <c r="B100" s="18"/>
      <c r="C100" s="18"/>
    </row>
    <row r="101">
      <c r="A101" s="17"/>
      <c r="B101" s="18"/>
      <c r="C101" s="18"/>
    </row>
    <row r="102">
      <c r="A102" s="17"/>
      <c r="B102" s="18"/>
      <c r="C102" s="18"/>
    </row>
    <row r="103">
      <c r="A103" s="17"/>
      <c r="B103" s="18"/>
      <c r="C103" s="18"/>
    </row>
    <row r="104">
      <c r="A104" s="17"/>
      <c r="B104" s="18"/>
      <c r="C104" s="18"/>
    </row>
    <row r="105">
      <c r="A105" s="17"/>
      <c r="B105" s="18"/>
      <c r="C105" s="18"/>
    </row>
    <row r="106">
      <c r="A106" s="17"/>
      <c r="B106" s="18"/>
      <c r="C106" s="18"/>
    </row>
    <row r="107">
      <c r="A107" s="17"/>
      <c r="B107" s="18"/>
      <c r="C107" s="18"/>
    </row>
    <row r="108">
      <c r="A108" s="17"/>
      <c r="B108" s="18"/>
      <c r="C108" s="18"/>
    </row>
    <row r="109">
      <c r="A109" s="17"/>
      <c r="B109" s="18"/>
      <c r="C109" s="18"/>
    </row>
    <row r="110">
      <c r="A110" s="17"/>
      <c r="B110" s="18"/>
      <c r="C110" s="18"/>
    </row>
    <row r="111">
      <c r="A111" s="17"/>
      <c r="B111" s="18"/>
      <c r="C111" s="18"/>
    </row>
    <row r="112">
      <c r="A112" s="17"/>
      <c r="B112" s="18"/>
      <c r="C112" s="18"/>
    </row>
    <row r="113">
      <c r="A113" s="17"/>
      <c r="B113" s="18"/>
      <c r="C113" s="18"/>
    </row>
    <row r="114">
      <c r="A114" s="17"/>
      <c r="B114" s="18"/>
      <c r="C114" s="18"/>
    </row>
    <row r="115">
      <c r="A115" s="17"/>
      <c r="B115" s="18"/>
      <c r="C115" s="18"/>
    </row>
    <row r="116">
      <c r="A116" s="17"/>
      <c r="B116" s="18"/>
      <c r="C116" s="18"/>
    </row>
    <row r="117">
      <c r="A117" s="17"/>
      <c r="B117" s="18"/>
      <c r="C117" s="18"/>
    </row>
    <row r="118">
      <c r="A118" s="17"/>
      <c r="B118" s="18"/>
      <c r="C118" s="18"/>
    </row>
    <row r="119">
      <c r="A119" s="17"/>
      <c r="B119" s="18"/>
      <c r="C119" s="18"/>
    </row>
    <row r="120">
      <c r="A120" s="17"/>
      <c r="B120" s="18"/>
      <c r="C120" s="18"/>
    </row>
    <row r="121">
      <c r="A121" s="17"/>
      <c r="B121" s="18"/>
      <c r="C121" s="18"/>
    </row>
    <row r="122">
      <c r="A122" s="17"/>
      <c r="B122" s="18"/>
      <c r="C122" s="18"/>
    </row>
    <row r="123">
      <c r="A123" s="17"/>
      <c r="B123" s="18"/>
      <c r="C123" s="18"/>
    </row>
    <row r="124">
      <c r="A124" s="17"/>
      <c r="B124" s="18"/>
      <c r="C124" s="18"/>
    </row>
    <row r="125">
      <c r="A125" s="17"/>
      <c r="B125" s="18"/>
      <c r="C125" s="18"/>
    </row>
    <row r="126">
      <c r="A126" s="17"/>
      <c r="B126" s="18"/>
      <c r="C126" s="18"/>
    </row>
    <row r="127">
      <c r="A127" s="17"/>
      <c r="B127" s="18"/>
      <c r="C127" s="18"/>
    </row>
    <row r="128">
      <c r="A128" s="17"/>
      <c r="B128" s="18"/>
      <c r="C128" s="18"/>
    </row>
    <row r="129">
      <c r="A129" s="17"/>
      <c r="B129" s="18"/>
      <c r="C129" s="18"/>
    </row>
    <row r="130">
      <c r="A130" s="17"/>
      <c r="B130" s="18"/>
      <c r="C130" s="18"/>
    </row>
    <row r="131">
      <c r="A131" s="17"/>
      <c r="B131" s="18"/>
      <c r="C131" s="18"/>
    </row>
    <row r="132">
      <c r="A132" s="17"/>
      <c r="B132" s="18"/>
      <c r="C132" s="18"/>
    </row>
    <row r="133">
      <c r="A133" s="17"/>
      <c r="B133" s="18"/>
      <c r="C133" s="18"/>
    </row>
    <row r="134">
      <c r="A134" s="17"/>
      <c r="B134" s="18"/>
      <c r="C134" s="18"/>
    </row>
    <row r="135">
      <c r="A135" s="17"/>
      <c r="B135" s="18"/>
      <c r="C135" s="18"/>
    </row>
    <row r="136">
      <c r="A136" s="17"/>
      <c r="B136" s="18"/>
      <c r="C136" s="18"/>
    </row>
    <row r="137">
      <c r="A137" s="17"/>
      <c r="B137" s="18"/>
      <c r="C137" s="18"/>
    </row>
    <row r="138">
      <c r="A138" s="17"/>
      <c r="B138" s="18"/>
      <c r="C138" s="18"/>
    </row>
    <row r="139">
      <c r="A139" s="17"/>
      <c r="B139" s="18"/>
      <c r="C139" s="18"/>
    </row>
    <row r="140">
      <c r="A140" s="17"/>
      <c r="B140" s="18"/>
      <c r="C140" s="18"/>
    </row>
    <row r="141">
      <c r="A141" s="17"/>
      <c r="B141" s="18"/>
      <c r="C141" s="18"/>
    </row>
    <row r="142">
      <c r="A142" s="17"/>
      <c r="B142" s="18"/>
      <c r="C142" s="18"/>
    </row>
    <row r="143">
      <c r="A143" s="17"/>
      <c r="B143" s="18"/>
      <c r="C143" s="18"/>
    </row>
    <row r="144">
      <c r="A144" s="17"/>
      <c r="B144" s="18"/>
      <c r="C144" s="18"/>
    </row>
    <row r="145">
      <c r="A145" s="17"/>
      <c r="B145" s="18"/>
      <c r="C145" s="18"/>
    </row>
    <row r="146">
      <c r="A146" s="17"/>
      <c r="B146" s="18"/>
      <c r="C146" s="18"/>
    </row>
    <row r="147">
      <c r="A147" s="17"/>
      <c r="B147" s="18"/>
      <c r="C147" s="18"/>
    </row>
    <row r="148">
      <c r="A148" s="17"/>
      <c r="B148" s="18"/>
      <c r="C148" s="18"/>
    </row>
    <row r="149">
      <c r="A149" s="17"/>
      <c r="B149" s="18"/>
      <c r="C149" s="18"/>
    </row>
    <row r="150">
      <c r="A150" s="17"/>
      <c r="B150" s="18"/>
      <c r="C150" s="18"/>
    </row>
    <row r="151">
      <c r="A151" s="17"/>
      <c r="B151" s="18"/>
      <c r="C151" s="18"/>
    </row>
    <row r="152">
      <c r="A152" s="17"/>
      <c r="B152" s="18"/>
      <c r="C152" s="18"/>
    </row>
    <row r="153">
      <c r="A153" s="17"/>
      <c r="B153" s="18"/>
      <c r="C153" s="18"/>
    </row>
    <row r="154">
      <c r="A154" s="17"/>
      <c r="B154" s="18"/>
      <c r="C154" s="18"/>
    </row>
    <row r="155">
      <c r="A155" s="17"/>
      <c r="B155" s="18"/>
      <c r="C155" s="18"/>
    </row>
    <row r="156">
      <c r="A156" s="17"/>
      <c r="B156" s="18"/>
      <c r="C156" s="18"/>
    </row>
    <row r="157">
      <c r="A157" s="17"/>
      <c r="B157" s="18"/>
      <c r="C157" s="18"/>
    </row>
    <row r="158">
      <c r="A158" s="17"/>
      <c r="B158" s="18"/>
      <c r="C158" s="18"/>
    </row>
    <row r="159">
      <c r="A159" s="17"/>
      <c r="B159" s="18"/>
      <c r="C159" s="18"/>
    </row>
    <row r="160">
      <c r="A160" s="17"/>
      <c r="B160" s="18"/>
      <c r="C160" s="18"/>
    </row>
    <row r="161">
      <c r="A161" s="17"/>
      <c r="B161" s="18"/>
      <c r="C161" s="18"/>
    </row>
    <row r="162">
      <c r="A162" s="17"/>
      <c r="B162" s="18"/>
      <c r="C162" s="18"/>
    </row>
    <row r="163">
      <c r="A163" s="17"/>
      <c r="B163" s="18"/>
      <c r="C163" s="18"/>
    </row>
    <row r="164">
      <c r="A164" s="17"/>
      <c r="B164" s="18"/>
      <c r="C164" s="18"/>
    </row>
    <row r="165">
      <c r="A165" s="17"/>
      <c r="B165" s="18"/>
      <c r="C165" s="18"/>
    </row>
    <row r="166">
      <c r="A166" s="17"/>
      <c r="B166" s="18"/>
      <c r="C166" s="18"/>
    </row>
    <row r="167">
      <c r="A167" s="17"/>
      <c r="B167" s="18"/>
      <c r="C167" s="18"/>
    </row>
    <row r="168">
      <c r="A168" s="17"/>
      <c r="B168" s="18"/>
      <c r="C168" s="18"/>
    </row>
    <row r="169">
      <c r="A169" s="17"/>
      <c r="B169" s="18"/>
      <c r="C169" s="18"/>
    </row>
    <row r="170">
      <c r="A170" s="17"/>
      <c r="B170" s="18"/>
      <c r="C170" s="18"/>
    </row>
    <row r="171">
      <c r="A171" s="17"/>
      <c r="B171" s="18"/>
      <c r="C171" s="18"/>
    </row>
    <row r="172">
      <c r="A172" s="17"/>
      <c r="B172" s="18"/>
      <c r="C172" s="18"/>
    </row>
    <row r="173">
      <c r="A173" s="17"/>
      <c r="B173" s="18"/>
      <c r="C173" s="18"/>
    </row>
    <row r="174">
      <c r="A174" s="17"/>
      <c r="B174" s="18"/>
      <c r="C174" s="18"/>
    </row>
    <row r="175">
      <c r="A175" s="17"/>
      <c r="B175" s="18"/>
      <c r="C175" s="18"/>
    </row>
    <row r="176">
      <c r="A176" s="17"/>
      <c r="B176" s="18"/>
      <c r="C176" s="18"/>
    </row>
    <row r="177">
      <c r="A177" s="17"/>
      <c r="B177" s="18"/>
      <c r="C177" s="18"/>
    </row>
    <row r="178">
      <c r="A178" s="17"/>
      <c r="B178" s="18"/>
      <c r="C178" s="18"/>
    </row>
    <row r="179">
      <c r="A179" s="17"/>
      <c r="B179" s="18"/>
      <c r="C179" s="18"/>
    </row>
    <row r="180">
      <c r="A180" s="17"/>
      <c r="B180" s="18"/>
      <c r="C180" s="18"/>
    </row>
    <row r="181">
      <c r="A181" s="17"/>
      <c r="B181" s="18"/>
      <c r="C181" s="18"/>
    </row>
    <row r="182">
      <c r="A182" s="17"/>
      <c r="B182" s="18"/>
      <c r="C182" s="18"/>
    </row>
    <row r="183">
      <c r="A183" s="17"/>
      <c r="B183" s="18"/>
      <c r="C183" s="18"/>
    </row>
    <row r="184">
      <c r="A184" s="17"/>
      <c r="B184" s="18"/>
      <c r="C184" s="18"/>
    </row>
    <row r="185">
      <c r="A185" s="17"/>
      <c r="B185" s="18"/>
      <c r="C185" s="18"/>
    </row>
    <row r="186">
      <c r="A186" s="17"/>
      <c r="B186" s="18"/>
      <c r="C186" s="18"/>
    </row>
    <row r="187">
      <c r="A187" s="17"/>
      <c r="B187" s="18"/>
      <c r="C187" s="18"/>
    </row>
    <row r="188">
      <c r="A188" s="17"/>
      <c r="B188" s="18"/>
      <c r="C188" s="18"/>
    </row>
    <row r="189">
      <c r="A189" s="17"/>
      <c r="B189" s="18"/>
      <c r="C189" s="18"/>
    </row>
    <row r="190">
      <c r="A190" s="17"/>
      <c r="B190" s="18"/>
      <c r="C190" s="18"/>
    </row>
    <row r="191">
      <c r="A191" s="17"/>
      <c r="B191" s="18"/>
      <c r="C191" s="18"/>
    </row>
    <row r="192">
      <c r="A192" s="17"/>
      <c r="B192" s="18"/>
      <c r="C192" s="18"/>
    </row>
    <row r="193">
      <c r="A193" s="17"/>
      <c r="B193" s="18"/>
      <c r="C193" s="18"/>
    </row>
    <row r="194">
      <c r="A194" s="17"/>
      <c r="B194" s="18"/>
      <c r="C194" s="18"/>
    </row>
    <row r="195">
      <c r="A195" s="17"/>
      <c r="B195" s="18"/>
      <c r="C195" s="18"/>
    </row>
    <row r="196">
      <c r="A196" s="17"/>
      <c r="B196" s="18"/>
      <c r="C196" s="18"/>
    </row>
    <row r="197">
      <c r="A197" s="17"/>
      <c r="B197" s="18"/>
      <c r="C197" s="18"/>
    </row>
    <row r="198">
      <c r="A198" s="17"/>
      <c r="B198" s="18"/>
      <c r="C198" s="18"/>
    </row>
    <row r="199">
      <c r="A199" s="17"/>
      <c r="B199" s="18"/>
      <c r="C199" s="18"/>
    </row>
    <row r="200">
      <c r="A200" s="17"/>
      <c r="B200" s="18"/>
      <c r="C200" s="18"/>
    </row>
    <row r="201">
      <c r="A201" s="17"/>
      <c r="B201" s="18"/>
      <c r="C201" s="18"/>
    </row>
    <row r="202">
      <c r="A202" s="17"/>
      <c r="B202" s="18"/>
      <c r="C202" s="18"/>
    </row>
    <row r="203">
      <c r="A203" s="17"/>
      <c r="B203" s="18"/>
      <c r="C203" s="18"/>
    </row>
    <row r="204">
      <c r="A204" s="17"/>
      <c r="B204" s="18"/>
      <c r="C204" s="18"/>
    </row>
    <row r="205">
      <c r="A205" s="17"/>
      <c r="B205" s="18"/>
      <c r="C205" s="18"/>
    </row>
    <row r="206">
      <c r="A206" s="17"/>
      <c r="B206" s="18"/>
      <c r="C206" s="18"/>
    </row>
    <row r="207">
      <c r="A207" s="17"/>
      <c r="B207" s="18"/>
      <c r="C207" s="18"/>
    </row>
    <row r="208">
      <c r="A208" s="17"/>
      <c r="B208" s="18"/>
      <c r="C208" s="18"/>
    </row>
    <row r="209">
      <c r="A209" s="17"/>
      <c r="B209" s="18"/>
      <c r="C209" s="18"/>
    </row>
    <row r="210">
      <c r="A210" s="17"/>
      <c r="B210" s="18"/>
      <c r="C210" s="18"/>
    </row>
    <row r="211">
      <c r="A211" s="17"/>
      <c r="B211" s="18"/>
      <c r="C211" s="18"/>
    </row>
    <row r="212">
      <c r="A212" s="17"/>
      <c r="B212" s="18"/>
      <c r="C212" s="18"/>
    </row>
    <row r="213">
      <c r="A213" s="17"/>
      <c r="B213" s="18"/>
      <c r="C213" s="18"/>
    </row>
    <row r="214">
      <c r="A214" s="17"/>
      <c r="B214" s="18"/>
      <c r="C214" s="18"/>
    </row>
    <row r="215">
      <c r="A215" s="17"/>
      <c r="B215" s="18"/>
      <c r="C215" s="18"/>
    </row>
    <row r="216">
      <c r="A216" s="17"/>
      <c r="B216" s="18"/>
      <c r="C216" s="18"/>
    </row>
    <row r="217">
      <c r="A217" s="17"/>
      <c r="B217" s="18"/>
      <c r="C217" s="18"/>
    </row>
    <row r="218">
      <c r="A218" s="17"/>
      <c r="B218" s="18"/>
      <c r="C218" s="18"/>
    </row>
    <row r="219">
      <c r="A219" s="17"/>
      <c r="B219" s="18"/>
      <c r="C219" s="18"/>
    </row>
    <row r="220">
      <c r="A220" s="17"/>
      <c r="B220" s="18"/>
      <c r="C220" s="18"/>
    </row>
    <row r="221">
      <c r="A221" s="17"/>
      <c r="B221" s="18"/>
      <c r="C221" s="18"/>
    </row>
    <row r="222">
      <c r="A222" s="17"/>
      <c r="B222" s="18"/>
      <c r="C222" s="18"/>
    </row>
    <row r="223">
      <c r="A223" s="17"/>
      <c r="B223" s="18"/>
      <c r="C223" s="18"/>
    </row>
    <row r="224">
      <c r="A224" s="17"/>
      <c r="B224" s="18"/>
      <c r="C224" s="18"/>
    </row>
    <row r="225">
      <c r="A225" s="17"/>
      <c r="B225" s="18"/>
      <c r="C225" s="18"/>
    </row>
    <row r="226">
      <c r="A226" s="17"/>
      <c r="B226" s="18"/>
      <c r="C226" s="18"/>
    </row>
    <row r="227">
      <c r="A227" s="17"/>
      <c r="B227" s="18"/>
      <c r="C227" s="18"/>
    </row>
    <row r="228">
      <c r="A228" s="17"/>
      <c r="B228" s="18"/>
      <c r="C228" s="18"/>
    </row>
    <row r="229">
      <c r="A229" s="17"/>
      <c r="B229" s="18"/>
      <c r="C229" s="18"/>
    </row>
    <row r="230">
      <c r="A230" s="17"/>
      <c r="B230" s="18"/>
      <c r="C230" s="18"/>
    </row>
    <row r="231">
      <c r="A231" s="17"/>
      <c r="B231" s="18"/>
      <c r="C231" s="18"/>
    </row>
    <row r="232">
      <c r="A232" s="17"/>
      <c r="B232" s="18"/>
      <c r="C232" s="18"/>
    </row>
    <row r="233">
      <c r="A233" s="17"/>
      <c r="B233" s="18"/>
      <c r="C233" s="18"/>
    </row>
    <row r="234">
      <c r="A234" s="17"/>
      <c r="B234" s="18"/>
      <c r="C234" s="18"/>
    </row>
    <row r="235">
      <c r="A235" s="17"/>
      <c r="B235" s="18"/>
      <c r="C235" s="18"/>
    </row>
    <row r="236">
      <c r="A236" s="17"/>
      <c r="B236" s="18"/>
      <c r="C236" s="18"/>
    </row>
    <row r="237">
      <c r="A237" s="17"/>
      <c r="B237" s="18"/>
      <c r="C237" s="18"/>
    </row>
    <row r="238">
      <c r="A238" s="17"/>
      <c r="B238" s="18"/>
      <c r="C238" s="18"/>
    </row>
    <row r="239">
      <c r="A239" s="17"/>
      <c r="B239" s="18"/>
      <c r="C239" s="18"/>
    </row>
    <row r="240">
      <c r="A240" s="17"/>
      <c r="B240" s="18"/>
      <c r="C240" s="18"/>
    </row>
    <row r="241">
      <c r="A241" s="17"/>
      <c r="B241" s="18"/>
      <c r="C241" s="18"/>
    </row>
    <row r="242">
      <c r="A242" s="17"/>
      <c r="B242" s="18"/>
      <c r="C242" s="18"/>
    </row>
    <row r="243">
      <c r="A243" s="17"/>
      <c r="B243" s="18"/>
      <c r="C243" s="18"/>
    </row>
    <row r="244">
      <c r="A244" s="17"/>
      <c r="B244" s="18"/>
      <c r="C244" s="18"/>
    </row>
    <row r="245">
      <c r="A245" s="17"/>
      <c r="B245" s="18"/>
      <c r="C245" s="18"/>
    </row>
    <row r="246">
      <c r="A246" s="17"/>
      <c r="B246" s="18"/>
      <c r="C246" s="18"/>
    </row>
    <row r="247">
      <c r="A247" s="17"/>
      <c r="B247" s="18"/>
      <c r="C247" s="18"/>
    </row>
    <row r="248">
      <c r="A248" s="17"/>
      <c r="B248" s="18"/>
      <c r="C248" s="18"/>
    </row>
    <row r="249">
      <c r="A249" s="17"/>
      <c r="B249" s="18"/>
      <c r="C249" s="18"/>
    </row>
    <row r="250">
      <c r="A250" s="17"/>
      <c r="B250" s="18"/>
      <c r="C250" s="18"/>
    </row>
    <row r="251">
      <c r="A251" s="17"/>
      <c r="B251" s="18"/>
      <c r="C251" s="18"/>
    </row>
    <row r="252">
      <c r="A252" s="17"/>
      <c r="B252" s="18"/>
      <c r="C252" s="18"/>
    </row>
    <row r="253">
      <c r="A253" s="17"/>
      <c r="B253" s="18"/>
      <c r="C253" s="18"/>
    </row>
    <row r="254">
      <c r="A254" s="17"/>
      <c r="B254" s="18"/>
      <c r="C254" s="18"/>
    </row>
    <row r="255">
      <c r="A255" s="17"/>
      <c r="B255" s="18"/>
      <c r="C255" s="18"/>
    </row>
    <row r="256">
      <c r="A256" s="17"/>
      <c r="B256" s="18"/>
      <c r="C256" s="18"/>
    </row>
    <row r="257">
      <c r="A257" s="17"/>
      <c r="B257" s="18"/>
      <c r="C257" s="18"/>
    </row>
    <row r="258">
      <c r="A258" s="17"/>
      <c r="B258" s="18"/>
      <c r="C258" s="18"/>
    </row>
    <row r="259">
      <c r="A259" s="17"/>
      <c r="B259" s="18"/>
      <c r="C259" s="18"/>
    </row>
    <row r="260">
      <c r="A260" s="17"/>
      <c r="B260" s="18"/>
      <c r="C260" s="18"/>
    </row>
    <row r="261">
      <c r="A261" s="17"/>
      <c r="B261" s="18"/>
      <c r="C261" s="18"/>
    </row>
    <row r="262">
      <c r="A262" s="17"/>
      <c r="B262" s="18"/>
      <c r="C262" s="18"/>
    </row>
    <row r="263">
      <c r="A263" s="17"/>
      <c r="B263" s="18"/>
      <c r="C263" s="18"/>
    </row>
    <row r="264">
      <c r="A264" s="17"/>
      <c r="B264" s="18"/>
      <c r="C264" s="18"/>
    </row>
    <row r="265">
      <c r="A265" s="17"/>
      <c r="B265" s="18"/>
      <c r="C265" s="18"/>
    </row>
    <row r="266">
      <c r="A266" s="17"/>
      <c r="B266" s="18"/>
      <c r="C266" s="18"/>
    </row>
    <row r="267">
      <c r="A267" s="17"/>
      <c r="B267" s="18"/>
      <c r="C267" s="18"/>
    </row>
    <row r="268">
      <c r="A268" s="17"/>
      <c r="B268" s="18"/>
      <c r="C268" s="18"/>
    </row>
    <row r="269">
      <c r="A269" s="17"/>
      <c r="B269" s="18"/>
      <c r="C269" s="18"/>
    </row>
    <row r="270">
      <c r="A270" s="17"/>
      <c r="B270" s="18"/>
      <c r="C270" s="18"/>
    </row>
    <row r="271">
      <c r="A271" s="17"/>
      <c r="B271" s="18"/>
      <c r="C271" s="18"/>
    </row>
    <row r="272">
      <c r="A272" s="17"/>
      <c r="B272" s="18"/>
      <c r="C272" s="18"/>
    </row>
    <row r="273">
      <c r="A273" s="17"/>
      <c r="B273" s="18"/>
      <c r="C273" s="18"/>
    </row>
    <row r="274">
      <c r="A274" s="17"/>
      <c r="B274" s="18"/>
      <c r="C274" s="18"/>
    </row>
    <row r="275">
      <c r="A275" s="17"/>
      <c r="B275" s="18"/>
      <c r="C275" s="18"/>
    </row>
    <row r="276">
      <c r="A276" s="17"/>
      <c r="B276" s="18"/>
      <c r="C276" s="18"/>
    </row>
    <row r="277">
      <c r="A277" s="17"/>
      <c r="B277" s="18"/>
      <c r="C277" s="18"/>
    </row>
    <row r="278">
      <c r="A278" s="17"/>
      <c r="B278" s="18"/>
      <c r="C278" s="18"/>
    </row>
    <row r="279">
      <c r="A279" s="17"/>
      <c r="B279" s="18"/>
      <c r="C279" s="18"/>
    </row>
    <row r="280">
      <c r="A280" s="17"/>
      <c r="B280" s="18"/>
      <c r="C280" s="18"/>
    </row>
    <row r="281">
      <c r="A281" s="17"/>
      <c r="B281" s="18"/>
      <c r="C281" s="18"/>
    </row>
    <row r="282">
      <c r="A282" s="17"/>
      <c r="B282" s="18"/>
      <c r="C282" s="18"/>
    </row>
    <row r="283">
      <c r="A283" s="17"/>
      <c r="B283" s="18"/>
      <c r="C283" s="18"/>
    </row>
    <row r="284">
      <c r="A284" s="17"/>
      <c r="B284" s="18"/>
      <c r="C284" s="18"/>
    </row>
    <row r="285">
      <c r="A285" s="17"/>
      <c r="B285" s="18"/>
      <c r="C285" s="18"/>
    </row>
    <row r="286">
      <c r="A286" s="17"/>
      <c r="B286" s="18"/>
      <c r="C286" s="18"/>
    </row>
    <row r="287">
      <c r="A287" s="17"/>
      <c r="B287" s="18"/>
      <c r="C287" s="18"/>
    </row>
    <row r="288">
      <c r="A288" s="17"/>
      <c r="B288" s="18"/>
      <c r="C288" s="18"/>
    </row>
    <row r="289">
      <c r="A289" s="17"/>
      <c r="B289" s="18"/>
      <c r="C289" s="18"/>
    </row>
    <row r="290">
      <c r="A290" s="17"/>
      <c r="B290" s="18"/>
      <c r="C290" s="18"/>
    </row>
    <row r="291">
      <c r="A291" s="17"/>
      <c r="B291" s="18"/>
      <c r="C291" s="18"/>
    </row>
    <row r="292">
      <c r="A292" s="17"/>
      <c r="B292" s="18"/>
      <c r="C292" s="18"/>
    </row>
    <row r="293">
      <c r="A293" s="17"/>
      <c r="B293" s="18"/>
      <c r="C293" s="18"/>
    </row>
    <row r="294">
      <c r="A294" s="17"/>
      <c r="B294" s="18"/>
      <c r="C294" s="18"/>
    </row>
    <row r="295">
      <c r="A295" s="17"/>
      <c r="B295" s="18"/>
      <c r="C295" s="18"/>
    </row>
    <row r="296">
      <c r="A296" s="17"/>
      <c r="B296" s="18"/>
      <c r="C296" s="18"/>
    </row>
    <row r="297">
      <c r="A297" s="17"/>
      <c r="B297" s="18"/>
      <c r="C297" s="18"/>
    </row>
    <row r="298">
      <c r="A298" s="17"/>
      <c r="B298" s="18"/>
      <c r="C298" s="18"/>
    </row>
    <row r="299">
      <c r="A299" s="17"/>
      <c r="B299" s="18"/>
      <c r="C299" s="18"/>
    </row>
    <row r="300">
      <c r="A300" s="17"/>
      <c r="B300" s="18"/>
      <c r="C300" s="18"/>
    </row>
    <row r="301">
      <c r="A301" s="17"/>
      <c r="B301" s="18"/>
      <c r="C301" s="18"/>
    </row>
    <row r="302">
      <c r="A302" s="17"/>
      <c r="B302" s="18"/>
      <c r="C302" s="18"/>
    </row>
    <row r="303">
      <c r="A303" s="17"/>
      <c r="B303" s="18"/>
      <c r="C303" s="18"/>
    </row>
    <row r="304">
      <c r="A304" s="17"/>
      <c r="B304" s="18"/>
      <c r="C304" s="18"/>
    </row>
    <row r="305">
      <c r="A305" s="17"/>
      <c r="B305" s="18"/>
      <c r="C305" s="18"/>
    </row>
    <row r="306">
      <c r="A306" s="17"/>
      <c r="B306" s="18"/>
      <c r="C306" s="18"/>
    </row>
    <row r="307">
      <c r="A307" s="17"/>
      <c r="B307" s="18"/>
      <c r="C307" s="18"/>
    </row>
    <row r="308">
      <c r="A308" s="17"/>
      <c r="B308" s="18"/>
      <c r="C308" s="18"/>
    </row>
    <row r="309">
      <c r="A309" s="17"/>
      <c r="B309" s="18"/>
      <c r="C309" s="18"/>
    </row>
    <row r="310">
      <c r="A310" s="17"/>
      <c r="B310" s="18"/>
      <c r="C310" s="18"/>
    </row>
    <row r="311">
      <c r="A311" s="17"/>
      <c r="B311" s="18"/>
      <c r="C311" s="18"/>
    </row>
    <row r="312">
      <c r="A312" s="17"/>
      <c r="B312" s="18"/>
      <c r="C312" s="18"/>
    </row>
    <row r="313">
      <c r="A313" s="17"/>
      <c r="B313" s="18"/>
      <c r="C313" s="18"/>
    </row>
    <row r="314">
      <c r="A314" s="17"/>
      <c r="B314" s="18"/>
      <c r="C314" s="18"/>
    </row>
    <row r="315">
      <c r="A315" s="17"/>
      <c r="B315" s="18"/>
      <c r="C315" s="18"/>
    </row>
    <row r="316">
      <c r="A316" s="17"/>
      <c r="B316" s="18"/>
      <c r="C316" s="18"/>
    </row>
    <row r="317">
      <c r="A317" s="17"/>
      <c r="B317" s="18"/>
      <c r="C317" s="18"/>
    </row>
    <row r="318">
      <c r="A318" s="17"/>
      <c r="B318" s="18"/>
      <c r="C318" s="18"/>
    </row>
    <row r="319">
      <c r="A319" s="17"/>
      <c r="B319" s="18"/>
      <c r="C319" s="18"/>
    </row>
    <row r="320">
      <c r="A320" s="17"/>
      <c r="B320" s="18"/>
      <c r="C320" s="18"/>
    </row>
    <row r="321">
      <c r="A321" s="17"/>
      <c r="B321" s="18"/>
      <c r="C321" s="18"/>
    </row>
    <row r="322">
      <c r="A322" s="17"/>
      <c r="B322" s="18"/>
      <c r="C322" s="18"/>
    </row>
    <row r="323">
      <c r="A323" s="17"/>
      <c r="B323" s="18"/>
      <c r="C323" s="18"/>
    </row>
    <row r="324">
      <c r="A324" s="17"/>
      <c r="B324" s="18"/>
      <c r="C324" s="18"/>
    </row>
    <row r="325">
      <c r="A325" s="17"/>
      <c r="B325" s="18"/>
      <c r="C325" s="18"/>
    </row>
    <row r="326">
      <c r="A326" s="17"/>
      <c r="B326" s="18"/>
      <c r="C326" s="18"/>
    </row>
    <row r="327">
      <c r="A327" s="17"/>
      <c r="B327" s="18"/>
      <c r="C327" s="18"/>
    </row>
    <row r="328">
      <c r="A328" s="17"/>
      <c r="B328" s="18"/>
      <c r="C328" s="18"/>
    </row>
    <row r="329">
      <c r="A329" s="17"/>
      <c r="B329" s="18"/>
      <c r="C329" s="18"/>
    </row>
    <row r="330">
      <c r="A330" s="17"/>
      <c r="B330" s="18"/>
      <c r="C330" s="18"/>
    </row>
    <row r="331">
      <c r="A331" s="17"/>
      <c r="B331" s="18"/>
      <c r="C331" s="18"/>
    </row>
    <row r="332">
      <c r="A332" s="17"/>
      <c r="B332" s="18"/>
      <c r="C332" s="18"/>
    </row>
    <row r="333">
      <c r="A333" s="17"/>
      <c r="B333" s="18"/>
      <c r="C333" s="18"/>
    </row>
    <row r="334">
      <c r="A334" s="17"/>
      <c r="B334" s="18"/>
      <c r="C334" s="18"/>
    </row>
    <row r="335">
      <c r="A335" s="17"/>
      <c r="B335" s="18"/>
      <c r="C335" s="18"/>
    </row>
    <row r="336">
      <c r="A336" s="17"/>
      <c r="B336" s="18"/>
      <c r="C336" s="18"/>
    </row>
    <row r="337">
      <c r="A337" s="17"/>
      <c r="B337" s="18"/>
      <c r="C337" s="18"/>
    </row>
    <row r="338">
      <c r="A338" s="17"/>
      <c r="B338" s="18"/>
      <c r="C338" s="18"/>
    </row>
    <row r="339">
      <c r="A339" s="17"/>
      <c r="B339" s="18"/>
      <c r="C339" s="18"/>
    </row>
    <row r="340">
      <c r="A340" s="17"/>
      <c r="B340" s="18"/>
      <c r="C340" s="18"/>
    </row>
    <row r="341">
      <c r="A341" s="17"/>
      <c r="B341" s="18"/>
      <c r="C341" s="18"/>
    </row>
    <row r="342">
      <c r="A342" s="17"/>
      <c r="B342" s="18"/>
      <c r="C342" s="18"/>
    </row>
    <row r="343">
      <c r="A343" s="17"/>
      <c r="B343" s="18"/>
      <c r="C343" s="18"/>
    </row>
    <row r="344">
      <c r="A344" s="17"/>
      <c r="B344" s="18"/>
      <c r="C344" s="18"/>
    </row>
    <row r="345">
      <c r="A345" s="17"/>
      <c r="B345" s="18"/>
      <c r="C345" s="18"/>
    </row>
    <row r="346">
      <c r="A346" s="17"/>
      <c r="B346" s="18"/>
      <c r="C346" s="18"/>
    </row>
    <row r="347">
      <c r="A347" s="17"/>
      <c r="B347" s="18"/>
      <c r="C347" s="18"/>
    </row>
    <row r="348">
      <c r="A348" s="17"/>
      <c r="B348" s="18"/>
      <c r="C348" s="18"/>
    </row>
    <row r="349">
      <c r="A349" s="17"/>
      <c r="B349" s="18"/>
      <c r="C349" s="18"/>
    </row>
    <row r="350">
      <c r="A350" s="17"/>
      <c r="B350" s="18"/>
      <c r="C350" s="18"/>
    </row>
    <row r="351">
      <c r="A351" s="17"/>
      <c r="B351" s="18"/>
      <c r="C351" s="18"/>
    </row>
    <row r="352">
      <c r="A352" s="17"/>
      <c r="B352" s="18"/>
      <c r="C352" s="18"/>
    </row>
    <row r="353">
      <c r="A353" s="17"/>
      <c r="B353" s="18"/>
      <c r="C353" s="18"/>
    </row>
    <row r="354">
      <c r="A354" s="17"/>
      <c r="B354" s="18"/>
      <c r="C354" s="18"/>
    </row>
    <row r="355">
      <c r="A355" s="17"/>
      <c r="B355" s="18"/>
      <c r="C355" s="18"/>
    </row>
    <row r="356">
      <c r="A356" s="17"/>
      <c r="B356" s="18"/>
      <c r="C356" s="18"/>
    </row>
    <row r="357">
      <c r="A357" s="17"/>
      <c r="B357" s="18"/>
      <c r="C357" s="18"/>
    </row>
    <row r="358">
      <c r="A358" s="17"/>
      <c r="B358" s="18"/>
      <c r="C358" s="18"/>
    </row>
    <row r="359">
      <c r="A359" s="17"/>
      <c r="B359" s="18"/>
      <c r="C359" s="18"/>
    </row>
    <row r="360">
      <c r="A360" s="17"/>
      <c r="B360" s="18"/>
      <c r="C360" s="18"/>
    </row>
    <row r="361">
      <c r="A361" s="17"/>
      <c r="B361" s="18"/>
      <c r="C361" s="18"/>
    </row>
    <row r="362">
      <c r="A362" s="17"/>
      <c r="B362" s="18"/>
      <c r="C362" s="18"/>
    </row>
    <row r="363">
      <c r="A363" s="17"/>
      <c r="B363" s="18"/>
      <c r="C363" s="18"/>
    </row>
    <row r="364">
      <c r="A364" s="17"/>
      <c r="B364" s="18"/>
      <c r="C364" s="18"/>
    </row>
    <row r="365">
      <c r="A365" s="17"/>
      <c r="B365" s="18"/>
      <c r="C365" s="18"/>
    </row>
    <row r="366">
      <c r="A366" s="17"/>
      <c r="B366" s="18"/>
      <c r="C366" s="18"/>
    </row>
    <row r="367">
      <c r="A367" s="17"/>
      <c r="B367" s="18"/>
      <c r="C367" s="18"/>
    </row>
    <row r="368">
      <c r="A368" s="17"/>
      <c r="B368" s="18"/>
      <c r="C368" s="18"/>
    </row>
    <row r="369">
      <c r="A369" s="17"/>
      <c r="B369" s="18"/>
      <c r="C369" s="18"/>
    </row>
    <row r="370">
      <c r="A370" s="17"/>
      <c r="B370" s="18"/>
      <c r="C370" s="18"/>
    </row>
    <row r="371">
      <c r="A371" s="17"/>
      <c r="B371" s="18"/>
      <c r="C371" s="18"/>
    </row>
    <row r="372">
      <c r="A372" s="17"/>
      <c r="B372" s="18"/>
      <c r="C372" s="18"/>
    </row>
    <row r="373">
      <c r="A373" s="17"/>
      <c r="B373" s="18"/>
      <c r="C373" s="18"/>
    </row>
    <row r="374">
      <c r="A374" s="17"/>
      <c r="B374" s="18"/>
      <c r="C374" s="18"/>
    </row>
    <row r="375">
      <c r="A375" s="17"/>
      <c r="B375" s="18"/>
      <c r="C375" s="18"/>
    </row>
    <row r="376">
      <c r="A376" s="17"/>
      <c r="B376" s="18"/>
      <c r="C376" s="18"/>
    </row>
    <row r="377">
      <c r="A377" s="17"/>
      <c r="B377" s="18"/>
      <c r="C377" s="18"/>
    </row>
    <row r="378">
      <c r="A378" s="17"/>
      <c r="B378" s="18"/>
      <c r="C378" s="18"/>
    </row>
    <row r="379">
      <c r="A379" s="17"/>
      <c r="B379" s="18"/>
      <c r="C379" s="18"/>
    </row>
    <row r="380">
      <c r="A380" s="17"/>
      <c r="B380" s="18"/>
      <c r="C380" s="18"/>
    </row>
    <row r="381">
      <c r="A381" s="17"/>
      <c r="B381" s="18"/>
      <c r="C381" s="18"/>
    </row>
    <row r="382">
      <c r="A382" s="17"/>
      <c r="B382" s="18"/>
      <c r="C382" s="18"/>
    </row>
    <row r="383">
      <c r="A383" s="17"/>
      <c r="B383" s="18"/>
      <c r="C383" s="18"/>
    </row>
    <row r="384">
      <c r="A384" s="17"/>
      <c r="B384" s="18"/>
      <c r="C384" s="18"/>
    </row>
    <row r="385">
      <c r="A385" s="17"/>
      <c r="B385" s="18"/>
      <c r="C385" s="18"/>
    </row>
    <row r="386">
      <c r="A386" s="17"/>
      <c r="B386" s="18"/>
      <c r="C386" s="18"/>
    </row>
    <row r="387">
      <c r="A387" s="17"/>
      <c r="B387" s="18"/>
      <c r="C387" s="18"/>
    </row>
    <row r="388">
      <c r="A388" s="17"/>
      <c r="B388" s="18"/>
      <c r="C388" s="18"/>
    </row>
    <row r="389">
      <c r="A389" s="17"/>
      <c r="B389" s="18"/>
      <c r="C389" s="18"/>
    </row>
    <row r="390">
      <c r="A390" s="17"/>
      <c r="B390" s="18"/>
      <c r="C390" s="18"/>
    </row>
    <row r="391">
      <c r="A391" s="17"/>
      <c r="B391" s="18"/>
      <c r="C391" s="18"/>
    </row>
    <row r="392">
      <c r="A392" s="17"/>
      <c r="B392" s="18"/>
      <c r="C392" s="18"/>
    </row>
    <row r="393">
      <c r="A393" s="17"/>
      <c r="B393" s="18"/>
      <c r="C393" s="18"/>
    </row>
    <row r="394">
      <c r="A394" s="17"/>
      <c r="B394" s="18"/>
      <c r="C394" s="18"/>
    </row>
    <row r="395">
      <c r="A395" s="17"/>
      <c r="B395" s="18"/>
      <c r="C395" s="18"/>
    </row>
    <row r="396">
      <c r="A396" s="17"/>
      <c r="B396" s="18"/>
      <c r="C396" s="18"/>
    </row>
    <row r="397">
      <c r="A397" s="17"/>
      <c r="B397" s="18"/>
      <c r="C397" s="18"/>
    </row>
    <row r="398">
      <c r="A398" s="17"/>
      <c r="B398" s="18"/>
      <c r="C398" s="18"/>
    </row>
    <row r="399">
      <c r="A399" s="17"/>
      <c r="B399" s="18"/>
      <c r="C399" s="18"/>
    </row>
    <row r="400">
      <c r="A400" s="17"/>
      <c r="B400" s="18"/>
      <c r="C400" s="18"/>
    </row>
    <row r="401">
      <c r="A401" s="17"/>
      <c r="B401" s="18"/>
      <c r="C401" s="18"/>
    </row>
    <row r="402">
      <c r="A402" s="17"/>
      <c r="B402" s="18"/>
      <c r="C402" s="18"/>
    </row>
    <row r="403">
      <c r="A403" s="17"/>
      <c r="B403" s="18"/>
      <c r="C403" s="18"/>
    </row>
    <row r="404">
      <c r="A404" s="17"/>
      <c r="B404" s="18"/>
      <c r="C404" s="18"/>
    </row>
    <row r="405">
      <c r="A405" s="17"/>
      <c r="B405" s="18"/>
      <c r="C405" s="18"/>
    </row>
    <row r="406">
      <c r="A406" s="17"/>
      <c r="B406" s="18"/>
      <c r="C406" s="18"/>
    </row>
    <row r="407">
      <c r="A407" s="17"/>
      <c r="B407" s="18"/>
      <c r="C407" s="18"/>
    </row>
    <row r="408">
      <c r="A408" s="17"/>
      <c r="B408" s="18"/>
      <c r="C408" s="18"/>
    </row>
    <row r="409">
      <c r="A409" s="17"/>
      <c r="B409" s="18"/>
      <c r="C409" s="18"/>
    </row>
    <row r="410">
      <c r="A410" s="17"/>
      <c r="B410" s="18"/>
      <c r="C410" s="18"/>
    </row>
    <row r="411">
      <c r="A411" s="17"/>
      <c r="B411" s="18"/>
      <c r="C411" s="18"/>
    </row>
    <row r="412">
      <c r="A412" s="17"/>
      <c r="B412" s="18"/>
      <c r="C412" s="18"/>
    </row>
    <row r="413">
      <c r="A413" s="17"/>
      <c r="B413" s="18"/>
      <c r="C413" s="18"/>
    </row>
    <row r="414">
      <c r="A414" s="17"/>
      <c r="B414" s="18"/>
      <c r="C414" s="18"/>
    </row>
    <row r="415">
      <c r="A415" s="17"/>
      <c r="B415" s="18"/>
      <c r="C415" s="18"/>
    </row>
    <row r="416">
      <c r="A416" s="17"/>
      <c r="B416" s="18"/>
      <c r="C416" s="18"/>
    </row>
    <row r="417">
      <c r="A417" s="17"/>
      <c r="B417" s="18"/>
      <c r="C417" s="18"/>
    </row>
    <row r="418">
      <c r="A418" s="17"/>
      <c r="B418" s="18"/>
      <c r="C418" s="18"/>
    </row>
    <row r="419">
      <c r="A419" s="17"/>
      <c r="B419" s="18"/>
      <c r="C419" s="18"/>
    </row>
    <row r="420">
      <c r="A420" s="17"/>
      <c r="B420" s="18"/>
      <c r="C420" s="18"/>
    </row>
    <row r="421">
      <c r="A421" s="17"/>
      <c r="B421" s="18"/>
      <c r="C421" s="18"/>
    </row>
    <row r="422">
      <c r="A422" s="17"/>
      <c r="B422" s="18"/>
      <c r="C422" s="18"/>
    </row>
    <row r="423">
      <c r="A423" s="17"/>
      <c r="B423" s="18"/>
      <c r="C423" s="18"/>
    </row>
    <row r="424">
      <c r="A424" s="17"/>
      <c r="B424" s="18"/>
      <c r="C424" s="18"/>
    </row>
    <row r="425">
      <c r="A425" s="17"/>
      <c r="B425" s="18"/>
      <c r="C425" s="18"/>
    </row>
    <row r="426">
      <c r="A426" s="17"/>
      <c r="B426" s="18"/>
      <c r="C426" s="18"/>
    </row>
    <row r="427">
      <c r="A427" s="17"/>
      <c r="B427" s="18"/>
      <c r="C427" s="18"/>
    </row>
    <row r="428">
      <c r="A428" s="17"/>
      <c r="B428" s="18"/>
      <c r="C428" s="18"/>
    </row>
    <row r="429">
      <c r="A429" s="17"/>
      <c r="B429" s="18"/>
      <c r="C429" s="18"/>
    </row>
    <row r="430">
      <c r="A430" s="17"/>
      <c r="B430" s="18"/>
      <c r="C430" s="18"/>
    </row>
    <row r="431">
      <c r="A431" s="17"/>
      <c r="B431" s="18"/>
      <c r="C431" s="18"/>
    </row>
    <row r="432">
      <c r="A432" s="17"/>
      <c r="B432" s="18"/>
      <c r="C432" s="18"/>
    </row>
    <row r="433">
      <c r="A433" s="17"/>
      <c r="B433" s="18"/>
      <c r="C433" s="18"/>
    </row>
    <row r="434">
      <c r="A434" s="17"/>
      <c r="B434" s="18"/>
      <c r="C434" s="18"/>
    </row>
    <row r="435">
      <c r="A435" s="17"/>
      <c r="B435" s="18"/>
      <c r="C435" s="18"/>
    </row>
    <row r="436">
      <c r="A436" s="17"/>
      <c r="B436" s="18"/>
      <c r="C436" s="18"/>
    </row>
    <row r="437">
      <c r="A437" s="17"/>
      <c r="B437" s="18"/>
      <c r="C437" s="18"/>
    </row>
    <row r="438">
      <c r="A438" s="17"/>
      <c r="B438" s="18"/>
      <c r="C438" s="18"/>
    </row>
    <row r="439">
      <c r="A439" s="17"/>
      <c r="B439" s="18"/>
      <c r="C439" s="18"/>
    </row>
    <row r="440">
      <c r="A440" s="17"/>
      <c r="B440" s="18"/>
      <c r="C440" s="18"/>
    </row>
    <row r="441">
      <c r="A441" s="17"/>
      <c r="B441" s="18"/>
      <c r="C441" s="18"/>
    </row>
    <row r="442">
      <c r="A442" s="17"/>
      <c r="B442" s="18"/>
      <c r="C442" s="18"/>
    </row>
    <row r="443">
      <c r="A443" s="17"/>
      <c r="B443" s="18"/>
      <c r="C443" s="18"/>
    </row>
    <row r="444">
      <c r="A444" s="17"/>
      <c r="B444" s="18"/>
      <c r="C444" s="18"/>
    </row>
    <row r="445">
      <c r="A445" s="17"/>
      <c r="B445" s="18"/>
      <c r="C445" s="18"/>
    </row>
    <row r="446">
      <c r="A446" s="17"/>
      <c r="B446" s="18"/>
      <c r="C446" s="18"/>
    </row>
    <row r="447">
      <c r="A447" s="17"/>
      <c r="B447" s="18"/>
      <c r="C447" s="18"/>
    </row>
    <row r="448">
      <c r="A448" s="17"/>
      <c r="B448" s="18"/>
      <c r="C448" s="18"/>
    </row>
    <row r="449">
      <c r="A449" s="17"/>
      <c r="B449" s="18"/>
      <c r="C449" s="18"/>
    </row>
    <row r="450">
      <c r="A450" s="17"/>
      <c r="B450" s="18"/>
      <c r="C450" s="18"/>
    </row>
    <row r="451">
      <c r="A451" s="17"/>
      <c r="B451" s="18"/>
      <c r="C451" s="18"/>
    </row>
    <row r="452">
      <c r="A452" s="17"/>
      <c r="B452" s="18"/>
      <c r="C452" s="18"/>
    </row>
    <row r="453">
      <c r="A453" s="17"/>
      <c r="B453" s="18"/>
      <c r="C453" s="18"/>
    </row>
    <row r="454">
      <c r="A454" s="17"/>
      <c r="B454" s="18"/>
      <c r="C454" s="18"/>
    </row>
    <row r="455">
      <c r="A455" s="17"/>
      <c r="B455" s="18"/>
      <c r="C455" s="18"/>
    </row>
    <row r="456">
      <c r="A456" s="17"/>
      <c r="B456" s="18"/>
      <c r="C456" s="18"/>
    </row>
    <row r="457">
      <c r="A457" s="17"/>
      <c r="B457" s="18"/>
      <c r="C457" s="18"/>
    </row>
    <row r="458">
      <c r="A458" s="17"/>
      <c r="B458" s="18"/>
      <c r="C458" s="18"/>
    </row>
    <row r="459">
      <c r="A459" s="17"/>
      <c r="B459" s="18"/>
      <c r="C459" s="18"/>
    </row>
    <row r="460">
      <c r="A460" s="17"/>
      <c r="B460" s="18"/>
      <c r="C460" s="18"/>
    </row>
    <row r="461">
      <c r="A461" s="17"/>
      <c r="B461" s="18"/>
      <c r="C461" s="18"/>
    </row>
    <row r="462">
      <c r="A462" s="17"/>
      <c r="B462" s="18"/>
      <c r="C462" s="18"/>
    </row>
    <row r="463">
      <c r="A463" s="17"/>
      <c r="B463" s="18"/>
      <c r="C463" s="18"/>
    </row>
    <row r="464">
      <c r="A464" s="17"/>
      <c r="B464" s="18"/>
      <c r="C464" s="18"/>
    </row>
    <row r="465">
      <c r="A465" s="17"/>
      <c r="B465" s="18"/>
      <c r="C465" s="18"/>
    </row>
    <row r="466">
      <c r="A466" s="17"/>
      <c r="B466" s="18"/>
      <c r="C466" s="18"/>
    </row>
    <row r="467">
      <c r="A467" s="17"/>
      <c r="B467" s="18"/>
      <c r="C467" s="18"/>
    </row>
    <row r="468">
      <c r="A468" s="17"/>
      <c r="B468" s="18"/>
      <c r="C468" s="18"/>
    </row>
    <row r="469">
      <c r="A469" s="17"/>
      <c r="B469" s="18"/>
      <c r="C469" s="18"/>
    </row>
    <row r="470">
      <c r="A470" s="17"/>
      <c r="B470" s="18"/>
      <c r="C470" s="18"/>
    </row>
    <row r="471">
      <c r="A471" s="17"/>
      <c r="B471" s="18"/>
      <c r="C471" s="18"/>
    </row>
    <row r="472">
      <c r="A472" s="17"/>
      <c r="B472" s="18"/>
      <c r="C472" s="18"/>
    </row>
    <row r="473">
      <c r="A473" s="17"/>
      <c r="B473" s="18"/>
      <c r="C473" s="18"/>
    </row>
    <row r="474">
      <c r="A474" s="17"/>
      <c r="B474" s="18"/>
      <c r="C474" s="18"/>
    </row>
    <row r="475">
      <c r="A475" s="17"/>
      <c r="B475" s="18"/>
      <c r="C475" s="18"/>
    </row>
    <row r="476">
      <c r="A476" s="17"/>
      <c r="B476" s="18"/>
      <c r="C476" s="18"/>
    </row>
    <row r="477">
      <c r="A477" s="17"/>
      <c r="B477" s="18"/>
      <c r="C477" s="18"/>
    </row>
    <row r="478">
      <c r="A478" s="17"/>
      <c r="B478" s="18"/>
      <c r="C478" s="18"/>
    </row>
    <row r="479">
      <c r="A479" s="17"/>
      <c r="B479" s="18"/>
      <c r="C479" s="18"/>
    </row>
    <row r="480">
      <c r="A480" s="17"/>
      <c r="B480" s="18"/>
      <c r="C480" s="18"/>
    </row>
    <row r="481">
      <c r="A481" s="17"/>
      <c r="B481" s="18"/>
      <c r="C481" s="18"/>
    </row>
    <row r="482">
      <c r="A482" s="17"/>
      <c r="B482" s="18"/>
      <c r="C482" s="18"/>
    </row>
    <row r="483">
      <c r="A483" s="17"/>
      <c r="B483" s="18"/>
      <c r="C483" s="18"/>
    </row>
    <row r="484">
      <c r="A484" s="17"/>
      <c r="B484" s="18"/>
      <c r="C484" s="18"/>
    </row>
    <row r="485">
      <c r="A485" s="17"/>
      <c r="B485" s="18"/>
      <c r="C485" s="18"/>
    </row>
    <row r="486">
      <c r="A486" s="17"/>
      <c r="B486" s="18"/>
      <c r="C486" s="18"/>
    </row>
    <row r="487">
      <c r="A487" s="17"/>
      <c r="B487" s="18"/>
      <c r="C487" s="18"/>
    </row>
    <row r="488">
      <c r="A488" s="17"/>
      <c r="B488" s="18"/>
      <c r="C488" s="18"/>
    </row>
    <row r="489">
      <c r="A489" s="17"/>
      <c r="B489" s="18"/>
      <c r="C489" s="18"/>
    </row>
    <row r="490">
      <c r="A490" s="17"/>
      <c r="B490" s="18"/>
      <c r="C490" s="18"/>
    </row>
    <row r="491">
      <c r="A491" s="17"/>
      <c r="B491" s="18"/>
      <c r="C491" s="18"/>
    </row>
    <row r="492">
      <c r="A492" s="17"/>
      <c r="B492" s="18"/>
      <c r="C492" s="18"/>
    </row>
    <row r="493">
      <c r="A493" s="17"/>
      <c r="B493" s="18"/>
      <c r="C493" s="18"/>
    </row>
    <row r="494">
      <c r="A494" s="17"/>
      <c r="B494" s="18"/>
      <c r="C494" s="18"/>
    </row>
    <row r="495">
      <c r="A495" s="17"/>
      <c r="B495" s="18"/>
      <c r="C495" s="18"/>
    </row>
    <row r="496">
      <c r="A496" s="17"/>
      <c r="B496" s="18"/>
      <c r="C496" s="18"/>
    </row>
    <row r="497">
      <c r="A497" s="17"/>
      <c r="B497" s="18"/>
      <c r="C497" s="18"/>
    </row>
    <row r="498">
      <c r="A498" s="17"/>
      <c r="B498" s="18"/>
      <c r="C498" s="18"/>
    </row>
    <row r="499">
      <c r="A499" s="17"/>
      <c r="B499" s="18"/>
      <c r="C499" s="18"/>
    </row>
    <row r="500">
      <c r="A500" s="17"/>
      <c r="B500" s="18"/>
      <c r="C500" s="18"/>
    </row>
    <row r="501">
      <c r="A501" s="17"/>
      <c r="B501" s="18"/>
      <c r="C501" s="18"/>
    </row>
    <row r="502">
      <c r="A502" s="17"/>
      <c r="B502" s="18"/>
      <c r="C502" s="18"/>
    </row>
    <row r="503">
      <c r="A503" s="17"/>
      <c r="B503" s="18"/>
      <c r="C503" s="18"/>
    </row>
    <row r="504">
      <c r="A504" s="17"/>
      <c r="B504" s="18"/>
      <c r="C504" s="18"/>
    </row>
    <row r="505">
      <c r="A505" s="17"/>
      <c r="B505" s="18"/>
      <c r="C505" s="18"/>
    </row>
    <row r="506">
      <c r="A506" s="17"/>
      <c r="B506" s="18"/>
      <c r="C506" s="18"/>
    </row>
    <row r="507">
      <c r="A507" s="17"/>
      <c r="B507" s="18"/>
      <c r="C507" s="18"/>
    </row>
    <row r="508">
      <c r="A508" s="17"/>
      <c r="B508" s="18"/>
      <c r="C508" s="18"/>
    </row>
    <row r="509">
      <c r="A509" s="17"/>
      <c r="B509" s="18"/>
      <c r="C509" s="18"/>
    </row>
    <row r="510">
      <c r="A510" s="17"/>
      <c r="B510" s="18"/>
      <c r="C510" s="18"/>
    </row>
    <row r="511">
      <c r="A511" s="17"/>
      <c r="B511" s="18"/>
      <c r="C511" s="18"/>
    </row>
    <row r="512">
      <c r="A512" s="17"/>
      <c r="B512" s="18"/>
      <c r="C512" s="18"/>
    </row>
    <row r="513">
      <c r="A513" s="17"/>
      <c r="B513" s="18"/>
      <c r="C513" s="18"/>
    </row>
    <row r="514">
      <c r="A514" s="17"/>
      <c r="B514" s="18"/>
      <c r="C514" s="18"/>
    </row>
    <row r="515">
      <c r="A515" s="17"/>
      <c r="B515" s="18"/>
      <c r="C515" s="18"/>
    </row>
    <row r="516">
      <c r="A516" s="17"/>
      <c r="B516" s="18"/>
      <c r="C516" s="18"/>
    </row>
    <row r="517">
      <c r="A517" s="17"/>
      <c r="B517" s="18"/>
      <c r="C517" s="18"/>
    </row>
    <row r="518">
      <c r="A518" s="17"/>
      <c r="B518" s="18"/>
      <c r="C518" s="18"/>
    </row>
    <row r="519">
      <c r="A519" s="17"/>
      <c r="B519" s="18"/>
      <c r="C519" s="18"/>
    </row>
    <row r="520">
      <c r="A520" s="17"/>
      <c r="B520" s="18"/>
      <c r="C520" s="18"/>
    </row>
    <row r="521">
      <c r="A521" s="17"/>
      <c r="B521" s="18"/>
      <c r="C521" s="18"/>
    </row>
    <row r="522">
      <c r="A522" s="17"/>
      <c r="B522" s="18"/>
      <c r="C522" s="18"/>
    </row>
    <row r="523">
      <c r="A523" s="17"/>
      <c r="B523" s="18"/>
      <c r="C523" s="18"/>
    </row>
    <row r="524">
      <c r="A524" s="17"/>
      <c r="B524" s="18"/>
      <c r="C524" s="18"/>
    </row>
    <row r="525">
      <c r="A525" s="17"/>
      <c r="B525" s="18"/>
      <c r="C525" s="18"/>
    </row>
    <row r="526">
      <c r="A526" s="17"/>
      <c r="B526" s="18"/>
      <c r="C526" s="18"/>
    </row>
    <row r="527">
      <c r="A527" s="17"/>
      <c r="B527" s="18"/>
      <c r="C527" s="18"/>
    </row>
    <row r="528">
      <c r="A528" s="17"/>
      <c r="B528" s="18"/>
      <c r="C528" s="18"/>
    </row>
    <row r="529">
      <c r="A529" s="17"/>
      <c r="B529" s="18"/>
      <c r="C529" s="18"/>
    </row>
    <row r="530">
      <c r="A530" s="17"/>
      <c r="B530" s="18"/>
      <c r="C530" s="18"/>
    </row>
    <row r="531">
      <c r="A531" s="17"/>
      <c r="B531" s="18"/>
      <c r="C531" s="18"/>
    </row>
    <row r="532">
      <c r="A532" s="17"/>
      <c r="B532" s="18"/>
      <c r="C532" s="18"/>
    </row>
    <row r="533">
      <c r="A533" s="17"/>
      <c r="B533" s="18"/>
      <c r="C533" s="18"/>
    </row>
    <row r="534">
      <c r="A534" s="17"/>
      <c r="B534" s="18"/>
      <c r="C534" s="18"/>
    </row>
    <row r="535">
      <c r="A535" s="17"/>
      <c r="B535" s="18"/>
      <c r="C535" s="18"/>
    </row>
    <row r="536">
      <c r="A536" s="17"/>
      <c r="B536" s="18"/>
      <c r="C536" s="18"/>
    </row>
    <row r="537">
      <c r="A537" s="17"/>
      <c r="B537" s="18"/>
      <c r="C537" s="18"/>
    </row>
    <row r="538">
      <c r="A538" s="17"/>
      <c r="B538" s="18"/>
      <c r="C538" s="18"/>
    </row>
    <row r="539">
      <c r="A539" s="17"/>
      <c r="B539" s="18"/>
      <c r="C539" s="18"/>
    </row>
    <row r="540">
      <c r="A540" s="17"/>
      <c r="B540" s="18"/>
      <c r="C540" s="18"/>
    </row>
    <row r="541">
      <c r="A541" s="17"/>
      <c r="B541" s="18"/>
      <c r="C541" s="18"/>
    </row>
    <row r="542">
      <c r="A542" s="17"/>
      <c r="B542" s="18"/>
      <c r="C542" s="18"/>
    </row>
    <row r="543">
      <c r="A543" s="17"/>
      <c r="B543" s="18"/>
      <c r="C543" s="18"/>
    </row>
    <row r="544">
      <c r="A544" s="17"/>
      <c r="B544" s="18"/>
      <c r="C544" s="18"/>
    </row>
    <row r="545">
      <c r="A545" s="17"/>
      <c r="B545" s="18"/>
      <c r="C545" s="18"/>
    </row>
    <row r="546">
      <c r="A546" s="17"/>
      <c r="B546" s="18"/>
      <c r="C546" s="18"/>
    </row>
    <row r="547">
      <c r="A547" s="17"/>
      <c r="B547" s="18"/>
      <c r="C547" s="18"/>
    </row>
    <row r="548">
      <c r="A548" s="17"/>
      <c r="B548" s="18"/>
      <c r="C548" s="18"/>
    </row>
    <row r="549">
      <c r="A549" s="17"/>
      <c r="B549" s="18"/>
      <c r="C549" s="18"/>
    </row>
    <row r="550">
      <c r="A550" s="17"/>
      <c r="B550" s="18"/>
      <c r="C550" s="18"/>
    </row>
    <row r="551">
      <c r="A551" s="17"/>
      <c r="B551" s="18"/>
      <c r="C551" s="18"/>
    </row>
    <row r="552">
      <c r="A552" s="17"/>
      <c r="B552" s="18"/>
      <c r="C552" s="18"/>
    </row>
    <row r="553">
      <c r="A553" s="17"/>
      <c r="B553" s="18"/>
      <c r="C553" s="18"/>
    </row>
    <row r="554">
      <c r="A554" s="17"/>
      <c r="B554" s="18"/>
      <c r="C554" s="18"/>
    </row>
    <row r="555">
      <c r="A555" s="17"/>
      <c r="B555" s="18"/>
      <c r="C555" s="18"/>
    </row>
    <row r="556">
      <c r="A556" s="17"/>
      <c r="B556" s="18"/>
      <c r="C556" s="18"/>
    </row>
    <row r="557">
      <c r="A557" s="17"/>
      <c r="B557" s="18"/>
      <c r="C557" s="18"/>
    </row>
    <row r="558">
      <c r="A558" s="17"/>
      <c r="B558" s="18"/>
      <c r="C558" s="18"/>
    </row>
    <row r="559">
      <c r="A559" s="17"/>
      <c r="B559" s="18"/>
      <c r="C559" s="18"/>
    </row>
    <row r="560">
      <c r="A560" s="17"/>
      <c r="B560" s="18"/>
      <c r="C560" s="18"/>
    </row>
    <row r="561">
      <c r="A561" s="17"/>
      <c r="B561" s="18"/>
      <c r="C561" s="18"/>
    </row>
    <row r="562">
      <c r="A562" s="17"/>
      <c r="B562" s="18"/>
      <c r="C562" s="18"/>
    </row>
    <row r="563">
      <c r="A563" s="17"/>
      <c r="B563" s="18"/>
      <c r="C563" s="18"/>
    </row>
    <row r="564">
      <c r="A564" s="17"/>
      <c r="B564" s="18"/>
      <c r="C564" s="18"/>
    </row>
    <row r="565">
      <c r="A565" s="17"/>
      <c r="B565" s="18"/>
      <c r="C565" s="18"/>
    </row>
    <row r="566">
      <c r="A566" s="17"/>
      <c r="B566" s="18"/>
      <c r="C566" s="18"/>
    </row>
    <row r="567">
      <c r="A567" s="17"/>
      <c r="B567" s="18"/>
      <c r="C567" s="18"/>
    </row>
    <row r="568">
      <c r="A568" s="17"/>
      <c r="B568" s="18"/>
      <c r="C568" s="18"/>
    </row>
    <row r="569">
      <c r="A569" s="17"/>
      <c r="B569" s="18"/>
      <c r="C569" s="18"/>
    </row>
    <row r="570">
      <c r="A570" s="17"/>
      <c r="B570" s="18"/>
      <c r="C570" s="18"/>
    </row>
    <row r="571">
      <c r="A571" s="17"/>
      <c r="B571" s="18"/>
      <c r="C571" s="18"/>
    </row>
    <row r="572">
      <c r="A572" s="17"/>
      <c r="B572" s="18"/>
      <c r="C572" s="18"/>
    </row>
    <row r="573">
      <c r="A573" s="17"/>
      <c r="B573" s="18"/>
      <c r="C573" s="18"/>
    </row>
    <row r="574">
      <c r="A574" s="17"/>
      <c r="B574" s="18"/>
      <c r="C574" s="18"/>
    </row>
    <row r="575">
      <c r="A575" s="17"/>
      <c r="B575" s="18"/>
      <c r="C575" s="18"/>
    </row>
    <row r="576">
      <c r="A576" s="17"/>
      <c r="B576" s="18"/>
      <c r="C576" s="18"/>
    </row>
    <row r="577">
      <c r="A577" s="17"/>
      <c r="B577" s="18"/>
      <c r="C577" s="18"/>
    </row>
    <row r="578">
      <c r="A578" s="17"/>
      <c r="B578" s="18"/>
      <c r="C578" s="18"/>
    </row>
    <row r="579">
      <c r="A579" s="17"/>
      <c r="B579" s="18"/>
      <c r="C579" s="18"/>
    </row>
    <row r="580">
      <c r="A580" s="17"/>
      <c r="B580" s="18"/>
      <c r="C580" s="18"/>
    </row>
    <row r="581">
      <c r="A581" s="17"/>
      <c r="B581" s="18"/>
      <c r="C581" s="18"/>
    </row>
    <row r="582">
      <c r="A582" s="17"/>
      <c r="B582" s="18"/>
      <c r="C582" s="18"/>
    </row>
    <row r="583">
      <c r="A583" s="17"/>
      <c r="B583" s="18"/>
      <c r="C583" s="18"/>
    </row>
    <row r="584">
      <c r="A584" s="17"/>
      <c r="B584" s="18"/>
      <c r="C584" s="18"/>
    </row>
    <row r="585">
      <c r="A585" s="17"/>
      <c r="B585" s="18"/>
      <c r="C585" s="18"/>
    </row>
    <row r="586">
      <c r="A586" s="17"/>
      <c r="B586" s="18"/>
      <c r="C586" s="18"/>
    </row>
    <row r="587">
      <c r="A587" s="17"/>
      <c r="B587" s="18"/>
      <c r="C587" s="18"/>
    </row>
    <row r="588">
      <c r="A588" s="17"/>
      <c r="B588" s="18"/>
      <c r="C588" s="18"/>
    </row>
    <row r="589">
      <c r="A589" s="17"/>
      <c r="B589" s="18"/>
      <c r="C589" s="18"/>
    </row>
    <row r="590">
      <c r="A590" s="17"/>
      <c r="B590" s="18"/>
      <c r="C590" s="18"/>
    </row>
    <row r="591">
      <c r="A591" s="17"/>
      <c r="B591" s="18"/>
      <c r="C591" s="18"/>
    </row>
    <row r="592">
      <c r="A592" s="17"/>
      <c r="B592" s="18"/>
      <c r="C592" s="18"/>
    </row>
    <row r="593">
      <c r="A593" s="17"/>
      <c r="B593" s="18"/>
      <c r="C593" s="18"/>
    </row>
    <row r="594">
      <c r="A594" s="17"/>
      <c r="B594" s="18"/>
      <c r="C594" s="18"/>
    </row>
    <row r="595">
      <c r="A595" s="17"/>
      <c r="B595" s="18"/>
      <c r="C595" s="18"/>
    </row>
    <row r="596">
      <c r="A596" s="17"/>
      <c r="B596" s="18"/>
      <c r="C596" s="18"/>
    </row>
    <row r="597">
      <c r="A597" s="17"/>
      <c r="B597" s="18"/>
      <c r="C597" s="18"/>
    </row>
    <row r="598">
      <c r="A598" s="17"/>
      <c r="B598" s="18"/>
      <c r="C598" s="18"/>
    </row>
    <row r="599">
      <c r="A599" s="17"/>
      <c r="B599" s="18"/>
      <c r="C599" s="18"/>
    </row>
    <row r="600">
      <c r="A600" s="17"/>
      <c r="B600" s="18"/>
      <c r="C600" s="18"/>
    </row>
    <row r="601">
      <c r="A601" s="17"/>
      <c r="B601" s="18"/>
      <c r="C601" s="18"/>
    </row>
    <row r="602">
      <c r="A602" s="17"/>
      <c r="B602" s="18"/>
      <c r="C602" s="18"/>
    </row>
    <row r="603">
      <c r="A603" s="17"/>
      <c r="B603" s="18"/>
      <c r="C603" s="18"/>
    </row>
    <row r="604">
      <c r="A604" s="17"/>
      <c r="B604" s="18"/>
      <c r="C604" s="18"/>
    </row>
    <row r="605">
      <c r="A605" s="17"/>
      <c r="B605" s="18"/>
      <c r="C605" s="18"/>
    </row>
    <row r="606">
      <c r="A606" s="17"/>
      <c r="B606" s="18"/>
      <c r="C606" s="18"/>
    </row>
    <row r="607">
      <c r="A607" s="17"/>
      <c r="B607" s="18"/>
      <c r="C607" s="18"/>
    </row>
    <row r="608">
      <c r="A608" s="17"/>
      <c r="B608" s="18"/>
      <c r="C608" s="18"/>
    </row>
    <row r="609">
      <c r="A609" s="17"/>
      <c r="B609" s="18"/>
      <c r="C609" s="18"/>
    </row>
    <row r="610">
      <c r="A610" s="17"/>
      <c r="B610" s="18"/>
      <c r="C610" s="18"/>
    </row>
    <row r="611">
      <c r="A611" s="17"/>
      <c r="B611" s="18"/>
      <c r="C611" s="18"/>
    </row>
    <row r="612">
      <c r="A612" s="17"/>
      <c r="B612" s="18"/>
      <c r="C612" s="18"/>
    </row>
    <row r="613">
      <c r="A613" s="17"/>
      <c r="B613" s="18"/>
      <c r="C613" s="18"/>
    </row>
    <row r="614">
      <c r="A614" s="17"/>
      <c r="B614" s="18"/>
      <c r="C614" s="18"/>
    </row>
    <row r="615">
      <c r="A615" s="17"/>
      <c r="B615" s="18"/>
      <c r="C615" s="18"/>
    </row>
    <row r="616">
      <c r="A616" s="17"/>
      <c r="B616" s="18"/>
      <c r="C616" s="18"/>
    </row>
    <row r="617">
      <c r="A617" s="17"/>
      <c r="B617" s="18"/>
      <c r="C617" s="18"/>
    </row>
    <row r="618">
      <c r="A618" s="17"/>
      <c r="B618" s="18"/>
      <c r="C618" s="18"/>
    </row>
    <row r="619">
      <c r="A619" s="17"/>
      <c r="B619" s="18"/>
      <c r="C619" s="18"/>
    </row>
    <row r="620">
      <c r="A620" s="17"/>
      <c r="B620" s="18"/>
      <c r="C620" s="18"/>
    </row>
    <row r="621">
      <c r="A621" s="17"/>
      <c r="B621" s="18"/>
      <c r="C621" s="18"/>
    </row>
    <row r="622">
      <c r="A622" s="17"/>
      <c r="B622" s="18"/>
      <c r="C622" s="18"/>
    </row>
    <row r="623">
      <c r="A623" s="17"/>
      <c r="B623" s="18"/>
      <c r="C623" s="18"/>
    </row>
    <row r="624">
      <c r="A624" s="17"/>
      <c r="B624" s="18"/>
      <c r="C624" s="18"/>
    </row>
    <row r="625">
      <c r="A625" s="17"/>
      <c r="B625" s="18"/>
      <c r="C625" s="18"/>
    </row>
    <row r="626">
      <c r="A626" s="17"/>
      <c r="B626" s="18"/>
      <c r="C626" s="18"/>
    </row>
    <row r="627">
      <c r="A627" s="17"/>
      <c r="B627" s="18"/>
      <c r="C627" s="18"/>
    </row>
    <row r="628">
      <c r="A628" s="17"/>
      <c r="B628" s="18"/>
      <c r="C628" s="18"/>
    </row>
    <row r="629">
      <c r="A629" s="17"/>
      <c r="B629" s="18"/>
      <c r="C629" s="18"/>
    </row>
    <row r="630">
      <c r="A630" s="17"/>
      <c r="B630" s="18"/>
      <c r="C630" s="18"/>
    </row>
    <row r="631">
      <c r="A631" s="17"/>
      <c r="B631" s="18"/>
      <c r="C631" s="18"/>
    </row>
    <row r="632">
      <c r="A632" s="17"/>
      <c r="B632" s="18"/>
      <c r="C632" s="18"/>
    </row>
    <row r="633">
      <c r="A633" s="17"/>
      <c r="B633" s="18"/>
      <c r="C633" s="18"/>
    </row>
    <row r="634">
      <c r="A634" s="17"/>
      <c r="B634" s="18"/>
      <c r="C634" s="18"/>
    </row>
    <row r="635">
      <c r="A635" s="17"/>
      <c r="B635" s="18"/>
      <c r="C635" s="18"/>
    </row>
    <row r="636">
      <c r="A636" s="17"/>
      <c r="B636" s="18"/>
      <c r="C636" s="18"/>
    </row>
    <row r="637">
      <c r="A637" s="17"/>
      <c r="B637" s="18"/>
      <c r="C637" s="18"/>
    </row>
    <row r="638">
      <c r="A638" s="17"/>
      <c r="B638" s="18"/>
      <c r="C638" s="18"/>
    </row>
    <row r="639">
      <c r="A639" s="17"/>
      <c r="B639" s="18"/>
      <c r="C639" s="18"/>
    </row>
    <row r="640">
      <c r="A640" s="17"/>
      <c r="B640" s="18"/>
      <c r="C640" s="18"/>
    </row>
    <row r="641">
      <c r="A641" s="17"/>
      <c r="B641" s="18"/>
      <c r="C641" s="18"/>
    </row>
    <row r="642">
      <c r="A642" s="17"/>
      <c r="B642" s="18"/>
      <c r="C642" s="18"/>
    </row>
    <row r="643">
      <c r="A643" s="17"/>
      <c r="B643" s="18"/>
      <c r="C643" s="18"/>
    </row>
    <row r="644">
      <c r="A644" s="17"/>
      <c r="B644" s="18"/>
      <c r="C644" s="18"/>
    </row>
    <row r="645">
      <c r="A645" s="17"/>
      <c r="B645" s="18"/>
      <c r="C645" s="18"/>
    </row>
    <row r="646">
      <c r="A646" s="17"/>
      <c r="B646" s="18"/>
      <c r="C646" s="18"/>
    </row>
    <row r="647">
      <c r="A647" s="17"/>
      <c r="B647" s="18"/>
      <c r="C647" s="18"/>
    </row>
    <row r="648">
      <c r="A648" s="17"/>
      <c r="B648" s="18"/>
      <c r="C648" s="18"/>
    </row>
    <row r="649">
      <c r="A649" s="17"/>
      <c r="B649" s="18"/>
      <c r="C649" s="18"/>
    </row>
    <row r="650">
      <c r="A650" s="17"/>
      <c r="B650" s="18"/>
      <c r="C650" s="18"/>
    </row>
    <row r="651">
      <c r="A651" s="17"/>
      <c r="B651" s="18"/>
      <c r="C651" s="18"/>
    </row>
    <row r="652">
      <c r="A652" s="17"/>
      <c r="B652" s="18"/>
      <c r="C652" s="18"/>
    </row>
    <row r="653">
      <c r="A653" s="17"/>
      <c r="B653" s="18"/>
      <c r="C653" s="18"/>
    </row>
    <row r="654">
      <c r="A654" s="17"/>
      <c r="B654" s="18"/>
      <c r="C654" s="18"/>
    </row>
    <row r="655">
      <c r="A655" s="17"/>
      <c r="B655" s="18"/>
      <c r="C655" s="18"/>
    </row>
    <row r="656">
      <c r="A656" s="17"/>
      <c r="B656" s="18"/>
      <c r="C656" s="18"/>
    </row>
    <row r="657">
      <c r="A657" s="17"/>
      <c r="B657" s="18"/>
      <c r="C657" s="18"/>
    </row>
    <row r="658">
      <c r="A658" s="17"/>
      <c r="B658" s="18"/>
      <c r="C658" s="18"/>
    </row>
    <row r="659">
      <c r="A659" s="17"/>
      <c r="B659" s="18"/>
      <c r="C659" s="18"/>
    </row>
    <row r="660">
      <c r="A660" s="17"/>
      <c r="B660" s="18"/>
      <c r="C660" s="18"/>
    </row>
    <row r="661">
      <c r="A661" s="17"/>
      <c r="B661" s="18"/>
      <c r="C661" s="18"/>
    </row>
    <row r="662">
      <c r="A662" s="17"/>
      <c r="B662" s="18"/>
      <c r="C662" s="18"/>
    </row>
    <row r="663">
      <c r="A663" s="17"/>
      <c r="B663" s="18"/>
      <c r="C663" s="18"/>
    </row>
    <row r="664">
      <c r="A664" s="17"/>
      <c r="B664" s="18"/>
      <c r="C664" s="18"/>
    </row>
    <row r="665">
      <c r="A665" s="17"/>
      <c r="B665" s="18"/>
      <c r="C665" s="18"/>
    </row>
    <row r="666">
      <c r="A666" s="17"/>
      <c r="B666" s="18"/>
      <c r="C666" s="18"/>
    </row>
    <row r="667">
      <c r="A667" s="17"/>
      <c r="B667" s="18"/>
      <c r="C667" s="18"/>
    </row>
    <row r="668">
      <c r="A668" s="17"/>
      <c r="B668" s="18"/>
      <c r="C668" s="18"/>
    </row>
    <row r="669">
      <c r="A669" s="17"/>
      <c r="B669" s="18"/>
      <c r="C669" s="18"/>
    </row>
    <row r="670">
      <c r="A670" s="17"/>
      <c r="B670" s="18"/>
      <c r="C670" s="18"/>
    </row>
    <row r="671">
      <c r="A671" s="17"/>
      <c r="B671" s="18"/>
      <c r="C671" s="18"/>
    </row>
    <row r="672">
      <c r="A672" s="17"/>
      <c r="B672" s="18"/>
      <c r="C672" s="18"/>
    </row>
    <row r="673">
      <c r="A673" s="17"/>
      <c r="B673" s="18"/>
      <c r="C673" s="18"/>
    </row>
    <row r="674">
      <c r="A674" s="17"/>
      <c r="B674" s="18"/>
      <c r="C674" s="18"/>
    </row>
    <row r="675">
      <c r="A675" s="17"/>
      <c r="B675" s="18"/>
      <c r="C675" s="18"/>
    </row>
    <row r="676">
      <c r="A676" s="17"/>
      <c r="B676" s="18"/>
      <c r="C676" s="18"/>
    </row>
    <row r="677">
      <c r="A677" s="17"/>
      <c r="B677" s="18"/>
      <c r="C677" s="18"/>
    </row>
    <row r="678">
      <c r="A678" s="17"/>
      <c r="B678" s="18"/>
      <c r="C678" s="18"/>
    </row>
    <row r="679">
      <c r="A679" s="17"/>
      <c r="B679" s="18"/>
      <c r="C679" s="18"/>
    </row>
    <row r="680">
      <c r="A680" s="17"/>
      <c r="B680" s="18"/>
      <c r="C680" s="18"/>
    </row>
    <row r="681">
      <c r="A681" s="17"/>
      <c r="B681" s="18"/>
      <c r="C681" s="18"/>
    </row>
    <row r="682">
      <c r="A682" s="17"/>
      <c r="B682" s="18"/>
      <c r="C682" s="18"/>
    </row>
    <row r="683">
      <c r="A683" s="17"/>
      <c r="B683" s="18"/>
      <c r="C683" s="18"/>
    </row>
    <row r="684">
      <c r="A684" s="17"/>
      <c r="B684" s="18"/>
      <c r="C684" s="18"/>
    </row>
    <row r="685">
      <c r="A685" s="17"/>
      <c r="B685" s="18"/>
      <c r="C685" s="18"/>
    </row>
    <row r="686">
      <c r="A686" s="17"/>
      <c r="B686" s="18"/>
      <c r="C686" s="18"/>
    </row>
    <row r="687">
      <c r="A687" s="17"/>
      <c r="B687" s="18"/>
      <c r="C687" s="18"/>
    </row>
    <row r="688">
      <c r="A688" s="17"/>
      <c r="B688" s="18"/>
      <c r="C688" s="18"/>
    </row>
    <row r="689">
      <c r="A689" s="17"/>
      <c r="B689" s="18"/>
      <c r="C689" s="18"/>
    </row>
    <row r="690">
      <c r="A690" s="17"/>
      <c r="B690" s="18"/>
      <c r="C690" s="18"/>
    </row>
    <row r="691">
      <c r="A691" s="17"/>
      <c r="B691" s="18"/>
      <c r="C691" s="18"/>
    </row>
    <row r="692">
      <c r="A692" s="17"/>
      <c r="B692" s="18"/>
      <c r="C692" s="18"/>
    </row>
    <row r="693">
      <c r="A693" s="17"/>
      <c r="B693" s="18"/>
      <c r="C693" s="18"/>
    </row>
    <row r="694">
      <c r="A694" s="17"/>
      <c r="B694" s="18"/>
      <c r="C694" s="18"/>
    </row>
    <row r="695">
      <c r="A695" s="17"/>
      <c r="B695" s="18"/>
      <c r="C695" s="18"/>
    </row>
    <row r="696">
      <c r="A696" s="17"/>
      <c r="B696" s="18"/>
      <c r="C696" s="18"/>
    </row>
    <row r="697">
      <c r="A697" s="17"/>
      <c r="B697" s="18"/>
      <c r="C697" s="18"/>
    </row>
    <row r="698">
      <c r="A698" s="17"/>
      <c r="B698" s="18"/>
      <c r="C698" s="18"/>
    </row>
    <row r="699">
      <c r="A699" s="17"/>
      <c r="B699" s="18"/>
      <c r="C699" s="18"/>
    </row>
    <row r="700">
      <c r="A700" s="17"/>
      <c r="B700" s="18"/>
      <c r="C700" s="18"/>
    </row>
    <row r="701">
      <c r="A701" s="17"/>
      <c r="B701" s="18"/>
      <c r="C701" s="18"/>
    </row>
    <row r="702">
      <c r="A702" s="17"/>
      <c r="B702" s="18"/>
      <c r="C702" s="18"/>
    </row>
    <row r="703">
      <c r="A703" s="17"/>
      <c r="B703" s="18"/>
      <c r="C703" s="18"/>
    </row>
    <row r="704">
      <c r="A704" s="17"/>
      <c r="B704" s="18"/>
      <c r="C704" s="18"/>
    </row>
    <row r="705">
      <c r="A705" s="17"/>
      <c r="B705" s="18"/>
      <c r="C705" s="18"/>
    </row>
    <row r="706">
      <c r="A706" s="17"/>
      <c r="B706" s="18"/>
      <c r="C706" s="18"/>
    </row>
    <row r="707">
      <c r="A707" s="17"/>
      <c r="B707" s="18"/>
      <c r="C707" s="18"/>
    </row>
    <row r="708">
      <c r="A708" s="17"/>
      <c r="B708" s="18"/>
      <c r="C708" s="18"/>
    </row>
    <row r="709">
      <c r="A709" s="17"/>
      <c r="B709" s="18"/>
      <c r="C709" s="18"/>
    </row>
    <row r="710">
      <c r="A710" s="17"/>
      <c r="B710" s="18"/>
      <c r="C710" s="18"/>
    </row>
    <row r="711">
      <c r="A711" s="17"/>
      <c r="B711" s="18"/>
      <c r="C711" s="18"/>
    </row>
    <row r="712">
      <c r="A712" s="17"/>
      <c r="B712" s="18"/>
      <c r="C712" s="18"/>
    </row>
    <row r="713">
      <c r="A713" s="17"/>
      <c r="B713" s="18"/>
      <c r="C713" s="18"/>
    </row>
    <row r="714">
      <c r="A714" s="17"/>
      <c r="B714" s="18"/>
      <c r="C714" s="18"/>
    </row>
    <row r="715">
      <c r="A715" s="17"/>
      <c r="B715" s="18"/>
      <c r="C715" s="18"/>
    </row>
    <row r="716">
      <c r="A716" s="17"/>
      <c r="B716" s="18"/>
      <c r="C716" s="18"/>
    </row>
    <row r="717">
      <c r="A717" s="17"/>
      <c r="B717" s="18"/>
      <c r="C717" s="18"/>
    </row>
    <row r="718">
      <c r="A718" s="17"/>
      <c r="B718" s="18"/>
      <c r="C718" s="18"/>
    </row>
    <row r="719">
      <c r="A719" s="17"/>
      <c r="B719" s="18"/>
      <c r="C719" s="18"/>
    </row>
    <row r="720">
      <c r="A720" s="17"/>
      <c r="B720" s="18"/>
      <c r="C720" s="18"/>
    </row>
    <row r="721">
      <c r="A721" s="17"/>
      <c r="B721" s="18"/>
      <c r="C721" s="18"/>
    </row>
    <row r="722">
      <c r="A722" s="17"/>
      <c r="B722" s="18"/>
      <c r="C722" s="18"/>
    </row>
    <row r="723">
      <c r="A723" s="17"/>
      <c r="B723" s="18"/>
      <c r="C723" s="18"/>
    </row>
    <row r="724">
      <c r="A724" s="17"/>
      <c r="B724" s="18"/>
      <c r="C724" s="18"/>
    </row>
    <row r="725">
      <c r="A725" s="17"/>
      <c r="B725" s="18"/>
      <c r="C725" s="18"/>
    </row>
    <row r="726">
      <c r="A726" s="17"/>
      <c r="B726" s="18"/>
      <c r="C726" s="18"/>
    </row>
    <row r="727">
      <c r="A727" s="17"/>
      <c r="B727" s="18"/>
      <c r="C727" s="18"/>
    </row>
    <row r="728">
      <c r="A728" s="17"/>
      <c r="B728" s="18"/>
      <c r="C728" s="18"/>
    </row>
    <row r="729">
      <c r="A729" s="17"/>
      <c r="B729" s="18"/>
      <c r="C729" s="18"/>
    </row>
    <row r="730">
      <c r="A730" s="17"/>
      <c r="B730" s="18"/>
      <c r="C730" s="18"/>
    </row>
    <row r="731">
      <c r="A731" s="17"/>
      <c r="B731" s="18"/>
      <c r="C731" s="18"/>
    </row>
    <row r="732">
      <c r="A732" s="17"/>
      <c r="B732" s="18"/>
      <c r="C732" s="18"/>
    </row>
    <row r="733">
      <c r="A733" s="17"/>
      <c r="B733" s="18"/>
      <c r="C733" s="18"/>
    </row>
    <row r="734">
      <c r="A734" s="17"/>
      <c r="B734" s="18"/>
      <c r="C734" s="18"/>
    </row>
    <row r="735">
      <c r="A735" s="17"/>
      <c r="B735" s="18"/>
      <c r="C735" s="18"/>
    </row>
    <row r="736">
      <c r="A736" s="17"/>
      <c r="B736" s="18"/>
      <c r="C736" s="18"/>
    </row>
    <row r="737">
      <c r="A737" s="17"/>
      <c r="B737" s="18"/>
      <c r="C737" s="18"/>
    </row>
    <row r="738">
      <c r="A738" s="17"/>
      <c r="B738" s="18"/>
      <c r="C738" s="18"/>
    </row>
    <row r="739">
      <c r="A739" s="17"/>
      <c r="B739" s="18"/>
      <c r="C739" s="18"/>
    </row>
    <row r="740">
      <c r="A740" s="17"/>
      <c r="B740" s="18"/>
      <c r="C740" s="18"/>
    </row>
    <row r="741">
      <c r="A741" s="17"/>
      <c r="B741" s="18"/>
      <c r="C741" s="18"/>
    </row>
    <row r="742">
      <c r="A742" s="17"/>
      <c r="B742" s="18"/>
      <c r="C742" s="18"/>
    </row>
    <row r="743">
      <c r="A743" s="17"/>
      <c r="B743" s="18"/>
      <c r="C743" s="18"/>
    </row>
    <row r="744">
      <c r="A744" s="17"/>
      <c r="B744" s="18"/>
      <c r="C744" s="18"/>
    </row>
    <row r="745">
      <c r="A745" s="17"/>
      <c r="B745" s="18"/>
      <c r="C745" s="18"/>
    </row>
    <row r="746">
      <c r="A746" s="17"/>
      <c r="B746" s="18"/>
      <c r="C746" s="18"/>
    </row>
    <row r="747">
      <c r="A747" s="17"/>
      <c r="B747" s="18"/>
      <c r="C747" s="18"/>
    </row>
    <row r="748">
      <c r="A748" s="17"/>
      <c r="B748" s="18"/>
      <c r="C748" s="18"/>
    </row>
    <row r="749">
      <c r="A749" s="17"/>
      <c r="B749" s="18"/>
      <c r="C749" s="18"/>
    </row>
    <row r="750">
      <c r="A750" s="17"/>
      <c r="B750" s="18"/>
      <c r="C750" s="18"/>
    </row>
    <row r="751">
      <c r="A751" s="17"/>
      <c r="B751" s="18"/>
      <c r="C751" s="18"/>
    </row>
    <row r="752">
      <c r="A752" s="17"/>
      <c r="B752" s="18"/>
      <c r="C752" s="18"/>
    </row>
    <row r="753">
      <c r="A753" s="17"/>
      <c r="B753" s="18"/>
      <c r="C753" s="18"/>
    </row>
    <row r="754">
      <c r="A754" s="17"/>
      <c r="B754" s="18"/>
      <c r="C754" s="18"/>
    </row>
    <row r="755">
      <c r="A755" s="17"/>
      <c r="B755" s="18"/>
      <c r="C755" s="18"/>
    </row>
    <row r="756">
      <c r="A756" s="17"/>
      <c r="B756" s="18"/>
      <c r="C756" s="18"/>
    </row>
    <row r="757">
      <c r="A757" s="17"/>
      <c r="B757" s="18"/>
      <c r="C757" s="18"/>
    </row>
    <row r="758">
      <c r="A758" s="17"/>
      <c r="B758" s="18"/>
      <c r="C758" s="18"/>
    </row>
    <row r="759">
      <c r="A759" s="17"/>
      <c r="B759" s="18"/>
      <c r="C759" s="18"/>
    </row>
    <row r="760">
      <c r="A760" s="17"/>
      <c r="B760" s="18"/>
      <c r="C760" s="18"/>
    </row>
    <row r="761">
      <c r="A761" s="17"/>
      <c r="B761" s="18"/>
      <c r="C761" s="18"/>
    </row>
    <row r="762">
      <c r="A762" s="17"/>
      <c r="B762" s="18"/>
      <c r="C762" s="18"/>
    </row>
    <row r="763">
      <c r="A763" s="17"/>
      <c r="B763" s="18"/>
      <c r="C763" s="18"/>
    </row>
    <row r="764">
      <c r="A764" s="17"/>
      <c r="B764" s="18"/>
      <c r="C764" s="18"/>
    </row>
    <row r="765">
      <c r="A765" s="17"/>
      <c r="B765" s="18"/>
      <c r="C765" s="18"/>
    </row>
    <row r="766">
      <c r="A766" s="17"/>
      <c r="B766" s="18"/>
      <c r="C766" s="18"/>
    </row>
    <row r="767">
      <c r="A767" s="17"/>
      <c r="B767" s="18"/>
      <c r="C767" s="18"/>
    </row>
    <row r="768">
      <c r="A768" s="17"/>
      <c r="B768" s="18"/>
      <c r="C768" s="18"/>
    </row>
    <row r="769">
      <c r="A769" s="17"/>
      <c r="B769" s="18"/>
      <c r="C769" s="18"/>
    </row>
    <row r="770">
      <c r="A770" s="17"/>
      <c r="B770" s="18"/>
      <c r="C770" s="18"/>
    </row>
    <row r="771">
      <c r="A771" s="17"/>
      <c r="B771" s="18"/>
      <c r="C771" s="18"/>
    </row>
    <row r="772">
      <c r="A772" s="17"/>
      <c r="B772" s="18"/>
      <c r="C772" s="18"/>
    </row>
    <row r="773">
      <c r="A773" s="17"/>
      <c r="B773" s="18"/>
      <c r="C773" s="18"/>
    </row>
    <row r="774">
      <c r="A774" s="17"/>
      <c r="B774" s="18"/>
      <c r="C774" s="18"/>
    </row>
    <row r="775">
      <c r="A775" s="17"/>
      <c r="B775" s="18"/>
      <c r="C775" s="18"/>
    </row>
    <row r="776">
      <c r="A776" s="17"/>
      <c r="B776" s="18"/>
      <c r="C776" s="18"/>
    </row>
    <row r="777">
      <c r="A777" s="17"/>
      <c r="B777" s="18"/>
      <c r="C777" s="18"/>
    </row>
    <row r="778">
      <c r="A778" s="17"/>
      <c r="B778" s="18"/>
      <c r="C778" s="18"/>
    </row>
    <row r="779">
      <c r="A779" s="17"/>
      <c r="B779" s="18"/>
      <c r="C779" s="18"/>
    </row>
    <row r="780">
      <c r="A780" s="17"/>
      <c r="B780" s="18"/>
      <c r="C780" s="18"/>
    </row>
    <row r="781">
      <c r="A781" s="17"/>
      <c r="B781" s="18"/>
      <c r="C781" s="18"/>
    </row>
    <row r="782">
      <c r="A782" s="17"/>
      <c r="B782" s="18"/>
      <c r="C782" s="18"/>
    </row>
    <row r="783">
      <c r="A783" s="17"/>
      <c r="B783" s="18"/>
      <c r="C783" s="18"/>
    </row>
    <row r="784">
      <c r="A784" s="17"/>
      <c r="B784" s="18"/>
      <c r="C784" s="18"/>
    </row>
    <row r="785">
      <c r="A785" s="17"/>
      <c r="B785" s="18"/>
      <c r="C785" s="18"/>
    </row>
    <row r="786">
      <c r="A786" s="17"/>
      <c r="B786" s="18"/>
      <c r="C786" s="18"/>
    </row>
    <row r="787">
      <c r="A787" s="17"/>
      <c r="B787" s="18"/>
      <c r="C787" s="18"/>
    </row>
    <row r="788">
      <c r="A788" s="17"/>
      <c r="B788" s="18"/>
      <c r="C788" s="18"/>
    </row>
    <row r="789">
      <c r="A789" s="17"/>
      <c r="B789" s="18"/>
      <c r="C789" s="18"/>
    </row>
    <row r="790">
      <c r="A790" s="17"/>
      <c r="B790" s="18"/>
      <c r="C790" s="18"/>
    </row>
    <row r="791">
      <c r="A791" s="17"/>
      <c r="B791" s="18"/>
      <c r="C791" s="18"/>
    </row>
    <row r="792">
      <c r="A792" s="17"/>
      <c r="B792" s="18"/>
      <c r="C792" s="18"/>
    </row>
    <row r="793">
      <c r="A793" s="17"/>
      <c r="B793" s="18"/>
      <c r="C793" s="18"/>
    </row>
    <row r="794">
      <c r="A794" s="17"/>
      <c r="B794" s="18"/>
      <c r="C794" s="18"/>
    </row>
    <row r="795">
      <c r="A795" s="17"/>
      <c r="B795" s="18"/>
      <c r="C795" s="18"/>
    </row>
    <row r="796">
      <c r="A796" s="17"/>
      <c r="B796" s="18"/>
      <c r="C796" s="18"/>
    </row>
    <row r="797">
      <c r="A797" s="17"/>
      <c r="B797" s="18"/>
      <c r="C797" s="18"/>
    </row>
    <row r="798">
      <c r="A798" s="17"/>
      <c r="B798" s="18"/>
      <c r="C798" s="18"/>
    </row>
    <row r="799">
      <c r="A799" s="17"/>
      <c r="B799" s="18"/>
      <c r="C799" s="18"/>
    </row>
    <row r="800">
      <c r="A800" s="17"/>
      <c r="B800" s="18"/>
      <c r="C800" s="18"/>
    </row>
    <row r="801">
      <c r="A801" s="17"/>
      <c r="B801" s="18"/>
      <c r="C801" s="18"/>
    </row>
    <row r="802">
      <c r="A802" s="17"/>
      <c r="B802" s="18"/>
      <c r="C802" s="18"/>
    </row>
    <row r="803">
      <c r="A803" s="17"/>
      <c r="B803" s="18"/>
      <c r="C803" s="18"/>
    </row>
    <row r="804">
      <c r="A804" s="17"/>
      <c r="B804" s="18"/>
      <c r="C804" s="18"/>
    </row>
    <row r="805">
      <c r="A805" s="17"/>
      <c r="B805" s="18"/>
      <c r="C805" s="18"/>
    </row>
    <row r="806">
      <c r="A806" s="17"/>
      <c r="B806" s="18"/>
      <c r="C806" s="18"/>
    </row>
    <row r="807">
      <c r="A807" s="17"/>
      <c r="B807" s="18"/>
      <c r="C807" s="18"/>
    </row>
    <row r="808">
      <c r="A808" s="17"/>
      <c r="B808" s="18"/>
      <c r="C808" s="18"/>
    </row>
    <row r="809">
      <c r="A809" s="17"/>
      <c r="B809" s="18"/>
      <c r="C809" s="18"/>
    </row>
    <row r="810">
      <c r="A810" s="17"/>
      <c r="B810" s="18"/>
      <c r="C810" s="18"/>
    </row>
    <row r="811">
      <c r="A811" s="17"/>
      <c r="B811" s="18"/>
      <c r="C811" s="18"/>
    </row>
    <row r="812">
      <c r="A812" s="17"/>
      <c r="B812" s="18"/>
      <c r="C812" s="18"/>
    </row>
    <row r="813">
      <c r="A813" s="17"/>
      <c r="B813" s="18"/>
      <c r="C813" s="18"/>
    </row>
    <row r="814">
      <c r="A814" s="17"/>
      <c r="B814" s="18"/>
      <c r="C814" s="18"/>
    </row>
    <row r="815">
      <c r="A815" s="17"/>
      <c r="B815" s="18"/>
      <c r="C815" s="18"/>
    </row>
    <row r="816">
      <c r="A816" s="17"/>
      <c r="B816" s="18"/>
      <c r="C816" s="18"/>
    </row>
    <row r="817">
      <c r="A817" s="17"/>
      <c r="B817" s="18"/>
      <c r="C817" s="18"/>
    </row>
    <row r="818">
      <c r="A818" s="17"/>
      <c r="B818" s="18"/>
      <c r="C818" s="18"/>
    </row>
    <row r="819">
      <c r="A819" s="17"/>
      <c r="B819" s="18"/>
      <c r="C819" s="18"/>
    </row>
    <row r="820">
      <c r="A820" s="17"/>
      <c r="B820" s="18"/>
      <c r="C820" s="18"/>
    </row>
    <row r="821">
      <c r="A821" s="17"/>
      <c r="B821" s="18"/>
      <c r="C821" s="18"/>
    </row>
    <row r="822">
      <c r="A822" s="17"/>
      <c r="B822" s="18"/>
      <c r="C822" s="18"/>
    </row>
    <row r="823">
      <c r="A823" s="17"/>
      <c r="B823" s="18"/>
      <c r="C823" s="18"/>
    </row>
    <row r="824">
      <c r="A824" s="17"/>
      <c r="B824" s="18"/>
      <c r="C824" s="18"/>
    </row>
    <row r="825">
      <c r="A825" s="17"/>
      <c r="B825" s="18"/>
      <c r="C825" s="18"/>
    </row>
    <row r="826">
      <c r="A826" s="17"/>
      <c r="B826" s="18"/>
      <c r="C826" s="18"/>
    </row>
    <row r="827">
      <c r="A827" s="17"/>
      <c r="B827" s="18"/>
      <c r="C827" s="18"/>
    </row>
    <row r="828">
      <c r="A828" s="17"/>
      <c r="B828" s="18"/>
      <c r="C828" s="18"/>
    </row>
    <row r="829">
      <c r="A829" s="17"/>
      <c r="B829" s="18"/>
      <c r="C829" s="18"/>
    </row>
    <row r="830">
      <c r="A830" s="17"/>
      <c r="B830" s="18"/>
      <c r="C830" s="18"/>
    </row>
    <row r="831">
      <c r="A831" s="17"/>
      <c r="B831" s="18"/>
      <c r="C831" s="18"/>
    </row>
    <row r="832">
      <c r="A832" s="17"/>
      <c r="B832" s="18"/>
      <c r="C832" s="18"/>
    </row>
    <row r="833">
      <c r="A833" s="17"/>
      <c r="B833" s="18"/>
      <c r="C833" s="18"/>
    </row>
    <row r="834">
      <c r="A834" s="17"/>
      <c r="B834" s="18"/>
      <c r="C834" s="18"/>
    </row>
    <row r="835">
      <c r="A835" s="17"/>
      <c r="B835" s="18"/>
      <c r="C835" s="18"/>
    </row>
    <row r="836">
      <c r="A836" s="17"/>
      <c r="B836" s="18"/>
      <c r="C836" s="18"/>
    </row>
    <row r="837">
      <c r="A837" s="17"/>
      <c r="B837" s="18"/>
      <c r="C837" s="18"/>
    </row>
    <row r="838">
      <c r="A838" s="17"/>
      <c r="B838" s="18"/>
      <c r="C838" s="18"/>
    </row>
    <row r="839">
      <c r="A839" s="17"/>
      <c r="B839" s="18"/>
      <c r="C839" s="18"/>
    </row>
    <row r="840">
      <c r="A840" s="17"/>
      <c r="B840" s="18"/>
      <c r="C840" s="18"/>
    </row>
    <row r="841">
      <c r="A841" s="17"/>
      <c r="B841" s="18"/>
      <c r="C841" s="18"/>
    </row>
    <row r="842">
      <c r="A842" s="17"/>
      <c r="B842" s="18"/>
      <c r="C842" s="18"/>
    </row>
    <row r="843">
      <c r="A843" s="17"/>
      <c r="B843" s="18"/>
      <c r="C843" s="18"/>
    </row>
    <row r="844">
      <c r="A844" s="17"/>
      <c r="B844" s="18"/>
      <c r="C844" s="18"/>
    </row>
    <row r="845">
      <c r="A845" s="17"/>
      <c r="B845" s="18"/>
      <c r="C845" s="18"/>
    </row>
    <row r="846">
      <c r="A846" s="17"/>
      <c r="B846" s="18"/>
      <c r="C846" s="18"/>
    </row>
    <row r="847">
      <c r="A847" s="17"/>
      <c r="B847" s="18"/>
      <c r="C847" s="18"/>
    </row>
    <row r="848">
      <c r="A848" s="17"/>
      <c r="B848" s="18"/>
      <c r="C848" s="18"/>
    </row>
    <row r="849">
      <c r="A849" s="17"/>
      <c r="B849" s="18"/>
      <c r="C849" s="18"/>
    </row>
    <row r="850">
      <c r="A850" s="17"/>
      <c r="B850" s="18"/>
      <c r="C850" s="18"/>
    </row>
    <row r="851">
      <c r="A851" s="17"/>
      <c r="B851" s="18"/>
      <c r="C851" s="18"/>
    </row>
    <row r="852">
      <c r="A852" s="17"/>
      <c r="B852" s="18"/>
      <c r="C852" s="18"/>
    </row>
    <row r="853">
      <c r="A853" s="17"/>
      <c r="B853" s="18"/>
      <c r="C853" s="18"/>
    </row>
    <row r="854">
      <c r="A854" s="17"/>
      <c r="B854" s="18"/>
      <c r="C854" s="18"/>
    </row>
    <row r="855">
      <c r="A855" s="17"/>
      <c r="B855" s="18"/>
      <c r="C855" s="18"/>
    </row>
    <row r="856">
      <c r="A856" s="17"/>
      <c r="B856" s="18"/>
      <c r="C856" s="18"/>
    </row>
    <row r="857">
      <c r="A857" s="17"/>
      <c r="B857" s="18"/>
      <c r="C857" s="18"/>
    </row>
    <row r="858">
      <c r="A858" s="17"/>
      <c r="B858" s="18"/>
      <c r="C858" s="18"/>
    </row>
    <row r="859">
      <c r="A859" s="17"/>
      <c r="B859" s="18"/>
      <c r="C859" s="18"/>
    </row>
    <row r="860">
      <c r="A860" s="17"/>
      <c r="B860" s="18"/>
      <c r="C860" s="18"/>
    </row>
    <row r="861">
      <c r="A861" s="17"/>
      <c r="B861" s="18"/>
      <c r="C861" s="18"/>
    </row>
    <row r="862">
      <c r="A862" s="17"/>
      <c r="B862" s="18"/>
      <c r="C862" s="18"/>
    </row>
    <row r="863">
      <c r="A863" s="17"/>
      <c r="B863" s="18"/>
      <c r="C863" s="18"/>
    </row>
    <row r="864">
      <c r="A864" s="17"/>
      <c r="B864" s="18"/>
      <c r="C864" s="18"/>
    </row>
    <row r="865">
      <c r="A865" s="17"/>
      <c r="B865" s="18"/>
      <c r="C865" s="18"/>
    </row>
    <row r="866">
      <c r="A866" s="17"/>
      <c r="B866" s="18"/>
      <c r="C866" s="18"/>
    </row>
    <row r="867">
      <c r="A867" s="17"/>
      <c r="B867" s="18"/>
      <c r="C867" s="18"/>
    </row>
    <row r="868">
      <c r="A868" s="17"/>
      <c r="B868" s="18"/>
      <c r="C868" s="18"/>
    </row>
    <row r="869">
      <c r="A869" s="17"/>
      <c r="B869" s="18"/>
      <c r="C869" s="18"/>
    </row>
    <row r="870">
      <c r="A870" s="17"/>
      <c r="B870" s="18"/>
      <c r="C870" s="18"/>
    </row>
    <row r="871">
      <c r="A871" s="17"/>
      <c r="B871" s="18"/>
      <c r="C871" s="18"/>
    </row>
    <row r="872">
      <c r="A872" s="17"/>
      <c r="B872" s="18"/>
      <c r="C872" s="18"/>
    </row>
    <row r="873">
      <c r="A873" s="17"/>
      <c r="B873" s="18"/>
      <c r="C873" s="18"/>
    </row>
    <row r="874">
      <c r="A874" s="17"/>
      <c r="B874" s="18"/>
      <c r="C874" s="18"/>
    </row>
    <row r="875">
      <c r="A875" s="17"/>
      <c r="B875" s="18"/>
      <c r="C875" s="18"/>
    </row>
    <row r="876">
      <c r="A876" s="17"/>
      <c r="B876" s="18"/>
      <c r="C876" s="18"/>
    </row>
    <row r="877">
      <c r="A877" s="17"/>
      <c r="B877" s="18"/>
      <c r="C877" s="18"/>
    </row>
    <row r="878">
      <c r="A878" s="17"/>
      <c r="B878" s="18"/>
      <c r="C878" s="18"/>
    </row>
    <row r="879">
      <c r="A879" s="17"/>
      <c r="B879" s="18"/>
      <c r="C879" s="18"/>
    </row>
    <row r="880">
      <c r="A880" s="17"/>
      <c r="B880" s="18"/>
      <c r="C880" s="18"/>
    </row>
    <row r="881">
      <c r="A881" s="17"/>
      <c r="B881" s="18"/>
      <c r="C881" s="18"/>
    </row>
    <row r="882">
      <c r="A882" s="17"/>
      <c r="B882" s="18"/>
      <c r="C882" s="18"/>
    </row>
    <row r="883">
      <c r="A883" s="17"/>
      <c r="B883" s="18"/>
      <c r="C883" s="18"/>
    </row>
    <row r="884">
      <c r="A884" s="17"/>
      <c r="B884" s="18"/>
      <c r="C884" s="18"/>
    </row>
    <row r="885">
      <c r="A885" s="17"/>
      <c r="B885" s="18"/>
      <c r="C885" s="18"/>
    </row>
    <row r="886">
      <c r="A886" s="17"/>
      <c r="B886" s="18"/>
      <c r="C886" s="18"/>
    </row>
    <row r="887">
      <c r="A887" s="17"/>
      <c r="B887" s="18"/>
      <c r="C887" s="18"/>
    </row>
    <row r="888">
      <c r="A888" s="17"/>
      <c r="B888" s="18"/>
      <c r="C888" s="18"/>
    </row>
    <row r="889">
      <c r="A889" s="17"/>
      <c r="B889" s="18"/>
      <c r="C889" s="18"/>
    </row>
    <row r="890">
      <c r="A890" s="17"/>
      <c r="B890" s="18"/>
      <c r="C890" s="18"/>
    </row>
    <row r="891">
      <c r="A891" s="17"/>
      <c r="B891" s="18"/>
      <c r="C891" s="18"/>
    </row>
    <row r="892">
      <c r="A892" s="17"/>
      <c r="B892" s="18"/>
      <c r="C892" s="18"/>
    </row>
    <row r="893">
      <c r="A893" s="17"/>
      <c r="B893" s="18"/>
      <c r="C893" s="18"/>
    </row>
    <row r="894">
      <c r="A894" s="17"/>
      <c r="B894" s="18"/>
      <c r="C894" s="18"/>
    </row>
    <row r="895">
      <c r="A895" s="17"/>
      <c r="B895" s="18"/>
      <c r="C895" s="18"/>
    </row>
    <row r="896">
      <c r="A896" s="17"/>
      <c r="B896" s="18"/>
      <c r="C896" s="18"/>
    </row>
    <row r="897">
      <c r="A897" s="17"/>
      <c r="B897" s="18"/>
      <c r="C897" s="18"/>
    </row>
    <row r="898">
      <c r="A898" s="17"/>
      <c r="B898" s="18"/>
      <c r="C898" s="18"/>
    </row>
    <row r="899">
      <c r="A899" s="17"/>
      <c r="B899" s="18"/>
      <c r="C899" s="18"/>
    </row>
    <row r="900">
      <c r="A900" s="17"/>
      <c r="B900" s="18"/>
      <c r="C900" s="18"/>
    </row>
    <row r="901">
      <c r="A901" s="17"/>
      <c r="B901" s="18"/>
      <c r="C901" s="18"/>
    </row>
    <row r="902">
      <c r="A902" s="17"/>
      <c r="B902" s="18"/>
      <c r="C902" s="18"/>
    </row>
    <row r="903">
      <c r="A903" s="17"/>
      <c r="B903" s="18"/>
      <c r="C903" s="18"/>
    </row>
    <row r="904">
      <c r="A904" s="17"/>
      <c r="B904" s="18"/>
      <c r="C904" s="18"/>
    </row>
    <row r="905">
      <c r="A905" s="17"/>
      <c r="B905" s="18"/>
      <c r="C905" s="18"/>
    </row>
    <row r="906">
      <c r="A906" s="17"/>
      <c r="B906" s="18"/>
      <c r="C906" s="18"/>
    </row>
    <row r="907">
      <c r="A907" s="17"/>
      <c r="B907" s="18"/>
      <c r="C907" s="18"/>
    </row>
    <row r="908">
      <c r="A908" s="17"/>
      <c r="B908" s="18"/>
      <c r="C908" s="18"/>
    </row>
    <row r="909">
      <c r="A909" s="17"/>
      <c r="B909" s="18"/>
      <c r="C909" s="18"/>
    </row>
    <row r="910">
      <c r="A910" s="17"/>
      <c r="B910" s="18"/>
      <c r="C910" s="18"/>
    </row>
    <row r="911">
      <c r="A911" s="17"/>
      <c r="B911" s="18"/>
      <c r="C911" s="18"/>
    </row>
    <row r="912">
      <c r="A912" s="17"/>
      <c r="B912" s="18"/>
      <c r="C912" s="18"/>
    </row>
    <row r="913">
      <c r="A913" s="17"/>
      <c r="B913" s="18"/>
      <c r="C913" s="18"/>
    </row>
    <row r="914">
      <c r="A914" s="17"/>
      <c r="B914" s="18"/>
      <c r="C914" s="18"/>
    </row>
    <row r="915">
      <c r="A915" s="17"/>
      <c r="B915" s="18"/>
      <c r="C915" s="18"/>
    </row>
    <row r="916">
      <c r="A916" s="17"/>
      <c r="B916" s="18"/>
      <c r="C916" s="18"/>
    </row>
    <row r="917">
      <c r="A917" s="17"/>
      <c r="B917" s="18"/>
      <c r="C917" s="18"/>
    </row>
    <row r="918">
      <c r="A918" s="17"/>
      <c r="B918" s="18"/>
      <c r="C918" s="18"/>
    </row>
    <row r="919">
      <c r="A919" s="17"/>
      <c r="B919" s="18"/>
      <c r="C919" s="18"/>
    </row>
    <row r="920">
      <c r="A920" s="17"/>
      <c r="B920" s="18"/>
      <c r="C920" s="18"/>
    </row>
    <row r="921">
      <c r="A921" s="17"/>
      <c r="B921" s="18"/>
      <c r="C921" s="18"/>
    </row>
    <row r="922">
      <c r="A922" s="17"/>
      <c r="B922" s="18"/>
      <c r="C922" s="18"/>
    </row>
    <row r="923">
      <c r="A923" s="17"/>
      <c r="B923" s="18"/>
      <c r="C923" s="18"/>
    </row>
    <row r="924">
      <c r="A924" s="17"/>
      <c r="B924" s="18"/>
      <c r="C924" s="18"/>
    </row>
    <row r="925">
      <c r="A925" s="17"/>
      <c r="B925" s="18"/>
      <c r="C925" s="18"/>
    </row>
    <row r="926">
      <c r="A926" s="17"/>
      <c r="B926" s="18"/>
      <c r="C926" s="18"/>
    </row>
    <row r="927">
      <c r="A927" s="17"/>
      <c r="B927" s="18"/>
      <c r="C927" s="18"/>
    </row>
    <row r="928">
      <c r="A928" s="17"/>
      <c r="B928" s="18"/>
      <c r="C928" s="18"/>
    </row>
    <row r="929">
      <c r="A929" s="17"/>
      <c r="B929" s="18"/>
      <c r="C929" s="18"/>
    </row>
    <row r="930">
      <c r="A930" s="17"/>
      <c r="B930" s="18"/>
      <c r="C930" s="18"/>
    </row>
    <row r="931">
      <c r="A931" s="17"/>
      <c r="B931" s="18"/>
      <c r="C931" s="18"/>
    </row>
    <row r="932">
      <c r="A932" s="17"/>
      <c r="B932" s="18"/>
      <c r="C932" s="18"/>
    </row>
    <row r="933">
      <c r="A933" s="17"/>
      <c r="B933" s="18"/>
      <c r="C933" s="18"/>
    </row>
    <row r="934">
      <c r="A934" s="17"/>
      <c r="B934" s="18"/>
      <c r="C934" s="18"/>
    </row>
    <row r="935">
      <c r="A935" s="17"/>
      <c r="B935" s="18"/>
      <c r="C935" s="18"/>
    </row>
    <row r="936">
      <c r="A936" s="17"/>
      <c r="B936" s="18"/>
      <c r="C936" s="18"/>
    </row>
    <row r="937">
      <c r="A937" s="17"/>
      <c r="B937" s="18"/>
      <c r="C937" s="18"/>
    </row>
    <row r="938">
      <c r="A938" s="17"/>
      <c r="B938" s="18"/>
      <c r="C938" s="18"/>
    </row>
    <row r="939">
      <c r="A939" s="17"/>
      <c r="B939" s="18"/>
      <c r="C939" s="18"/>
    </row>
    <row r="940">
      <c r="A940" s="17"/>
      <c r="B940" s="18"/>
      <c r="C940" s="18"/>
    </row>
    <row r="941">
      <c r="A941" s="17"/>
      <c r="B941" s="18"/>
      <c r="C941" s="18"/>
    </row>
    <row r="942">
      <c r="A942" s="17"/>
      <c r="B942" s="18"/>
      <c r="C942" s="18"/>
    </row>
    <row r="943">
      <c r="A943" s="17"/>
      <c r="B943" s="18"/>
      <c r="C943" s="18"/>
    </row>
    <row r="944">
      <c r="A944" s="17"/>
      <c r="B944" s="18"/>
      <c r="C944" s="18"/>
    </row>
    <row r="945">
      <c r="A945" s="17"/>
      <c r="B945" s="18"/>
      <c r="C945" s="18"/>
    </row>
    <row r="946">
      <c r="A946" s="17"/>
      <c r="B946" s="18"/>
      <c r="C946" s="18"/>
    </row>
    <row r="947">
      <c r="A947" s="17"/>
      <c r="B947" s="18"/>
      <c r="C947" s="18"/>
    </row>
    <row r="948">
      <c r="A948" s="17"/>
      <c r="B948" s="18"/>
      <c r="C948" s="18"/>
    </row>
    <row r="949">
      <c r="A949" s="17"/>
      <c r="B949" s="18"/>
      <c r="C949" s="18"/>
    </row>
    <row r="950">
      <c r="A950" s="17"/>
      <c r="B950" s="18"/>
      <c r="C950" s="18"/>
    </row>
    <row r="951">
      <c r="A951" s="17"/>
      <c r="B951" s="18"/>
      <c r="C951" s="18"/>
    </row>
    <row r="952">
      <c r="A952" s="17"/>
      <c r="B952" s="18"/>
      <c r="C952" s="18"/>
    </row>
    <row r="953">
      <c r="A953" s="17"/>
      <c r="B953" s="18"/>
      <c r="C953" s="18"/>
    </row>
    <row r="954">
      <c r="A954" s="17"/>
      <c r="B954" s="18"/>
      <c r="C954" s="18"/>
    </row>
    <row r="955">
      <c r="A955" s="17"/>
      <c r="B955" s="18"/>
      <c r="C955" s="18"/>
    </row>
    <row r="956">
      <c r="A956" s="17"/>
      <c r="B956" s="18"/>
      <c r="C956" s="18"/>
    </row>
    <row r="957">
      <c r="A957" s="17"/>
      <c r="B957" s="18"/>
      <c r="C957" s="18"/>
    </row>
    <row r="958">
      <c r="A958" s="17"/>
      <c r="B958" s="18"/>
      <c r="C958" s="18"/>
    </row>
    <row r="959">
      <c r="A959" s="17"/>
      <c r="B959" s="18"/>
      <c r="C959" s="18"/>
    </row>
    <row r="960">
      <c r="A960" s="17"/>
      <c r="B960" s="18"/>
      <c r="C960" s="18"/>
    </row>
    <row r="961">
      <c r="A961" s="17"/>
      <c r="B961" s="18"/>
      <c r="C961" s="18"/>
    </row>
    <row r="962">
      <c r="A962" s="17"/>
      <c r="B962" s="18"/>
      <c r="C962" s="18"/>
    </row>
    <row r="963">
      <c r="A963" s="17"/>
      <c r="B963" s="18"/>
      <c r="C963" s="18"/>
    </row>
    <row r="964">
      <c r="A964" s="17"/>
      <c r="B964" s="18"/>
      <c r="C964" s="18"/>
    </row>
    <row r="965">
      <c r="A965" s="17"/>
      <c r="B965" s="18"/>
      <c r="C965" s="18"/>
    </row>
    <row r="966">
      <c r="A966" s="17"/>
      <c r="B966" s="18"/>
      <c r="C966" s="18"/>
    </row>
    <row r="967">
      <c r="A967" s="17"/>
      <c r="B967" s="18"/>
      <c r="C967" s="18"/>
    </row>
    <row r="968">
      <c r="A968" s="17"/>
      <c r="B968" s="18"/>
      <c r="C968" s="18"/>
    </row>
    <row r="969">
      <c r="A969" s="17"/>
      <c r="B969" s="18"/>
      <c r="C969" s="18"/>
    </row>
    <row r="970">
      <c r="A970" s="17"/>
      <c r="B970" s="18"/>
      <c r="C970" s="18"/>
    </row>
    <row r="971">
      <c r="A971" s="17"/>
      <c r="B971" s="18"/>
      <c r="C971" s="18"/>
    </row>
    <row r="972">
      <c r="A972" s="17"/>
      <c r="B972" s="18"/>
      <c r="C972" s="18"/>
    </row>
    <row r="973">
      <c r="A973" s="17"/>
      <c r="B973" s="18"/>
      <c r="C973" s="18"/>
    </row>
    <row r="974">
      <c r="A974" s="17"/>
      <c r="B974" s="18"/>
      <c r="C974" s="18"/>
    </row>
    <row r="975">
      <c r="A975" s="17"/>
      <c r="B975" s="18"/>
      <c r="C975" s="18"/>
    </row>
    <row r="976">
      <c r="A976" s="17"/>
      <c r="B976" s="18"/>
      <c r="C976" s="18"/>
    </row>
    <row r="977">
      <c r="A977" s="17"/>
      <c r="B977" s="18"/>
      <c r="C977" s="18"/>
    </row>
    <row r="978">
      <c r="A978" s="17"/>
      <c r="B978" s="18"/>
      <c r="C978" s="18"/>
    </row>
    <row r="979">
      <c r="A979" s="17"/>
      <c r="B979" s="18"/>
      <c r="C979" s="18"/>
    </row>
    <row r="980">
      <c r="A980" s="17"/>
      <c r="B980" s="18"/>
      <c r="C980" s="18"/>
    </row>
    <row r="981">
      <c r="A981" s="17"/>
      <c r="B981" s="18"/>
      <c r="C981" s="18"/>
    </row>
    <row r="982">
      <c r="A982" s="17"/>
      <c r="B982" s="18"/>
      <c r="C982" s="18"/>
    </row>
    <row r="983">
      <c r="A983" s="17"/>
      <c r="B983" s="18"/>
      <c r="C983" s="18"/>
    </row>
    <row r="984">
      <c r="A984" s="17"/>
      <c r="B984" s="18"/>
      <c r="C984" s="18"/>
    </row>
    <row r="985">
      <c r="A985" s="17"/>
      <c r="B985" s="18"/>
      <c r="C985" s="18"/>
    </row>
    <row r="986">
      <c r="A986" s="17"/>
      <c r="B986" s="18"/>
      <c r="C986" s="18"/>
    </row>
    <row r="987">
      <c r="A987" s="17"/>
      <c r="B987" s="18"/>
      <c r="C987" s="18"/>
    </row>
    <row r="988">
      <c r="A988" s="17"/>
      <c r="B988" s="18"/>
      <c r="C988" s="18"/>
    </row>
    <row r="989">
      <c r="A989" s="17"/>
      <c r="B989" s="18"/>
      <c r="C989" s="18"/>
    </row>
    <row r="990">
      <c r="A990" s="17"/>
      <c r="B990" s="18"/>
      <c r="C990" s="18"/>
    </row>
    <row r="991">
      <c r="A991" s="17"/>
      <c r="B991" s="18"/>
      <c r="C991" s="18"/>
    </row>
    <row r="992">
      <c r="A992" s="17"/>
      <c r="B992" s="18"/>
      <c r="C992" s="18"/>
    </row>
    <row r="993">
      <c r="A993" s="17"/>
      <c r="B993" s="18"/>
      <c r="C993" s="18"/>
    </row>
    <row r="994">
      <c r="A994" s="17"/>
      <c r="B994" s="18"/>
      <c r="C994" s="18"/>
    </row>
    <row r="995">
      <c r="A995" s="17"/>
      <c r="B995" s="18"/>
      <c r="C995" s="18"/>
    </row>
    <row r="996">
      <c r="A996" s="17"/>
      <c r="B996" s="18"/>
      <c r="C996" s="18"/>
    </row>
    <row r="997">
      <c r="A997" s="17"/>
      <c r="B997" s="18"/>
      <c r="C997" s="18"/>
    </row>
    <row r="998">
      <c r="A998" s="17"/>
      <c r="B998" s="18"/>
      <c r="C998" s="18"/>
    </row>
    <row r="999">
      <c r="A999" s="17"/>
      <c r="B999" s="18"/>
      <c r="C999" s="18"/>
    </row>
    <row r="1000">
      <c r="A1000" s="17"/>
      <c r="B1000" s="18"/>
      <c r="C1000" s="18"/>
    </row>
  </sheetData>
  <dataValidations>
    <dataValidation type="list" allowBlank="1" sqref="C2:C1000">
      <formula1>"Pelanggaran SOP,Keterlambatan,Keluhan Pelanggan,Lainnya"</formula1>
    </dataValidation>
    <dataValidation type="list" allowBlank="1" sqref="B2:B1000">
      <formula1>'Master Karyawan'!$B$2:$B$1000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25"/>
    <col customWidth="1" min="3" max="3" width="17.5"/>
  </cols>
  <sheetData>
    <row r="2">
      <c r="A2" s="192" t="s">
        <v>278</v>
      </c>
      <c r="B2" s="192" t="s">
        <v>279</v>
      </c>
    </row>
    <row r="3">
      <c r="B3" s="250" t="s">
        <v>280</v>
      </c>
    </row>
    <row r="4">
      <c r="B4" s="250" t="s">
        <v>281</v>
      </c>
    </row>
    <row r="6">
      <c r="A6" s="192" t="s">
        <v>278</v>
      </c>
      <c r="B6" s="192" t="s">
        <v>282</v>
      </c>
    </row>
    <row r="7">
      <c r="B7" s="250" t="s">
        <v>283</v>
      </c>
    </row>
    <row r="8">
      <c r="B8" s="250" t="s">
        <v>281</v>
      </c>
    </row>
    <row r="10">
      <c r="A10" s="192" t="s">
        <v>284</v>
      </c>
    </row>
    <row r="11">
      <c r="B11" s="250" t="s">
        <v>285</v>
      </c>
      <c r="C11" s="7" t="s">
        <v>286</v>
      </c>
    </row>
    <row r="12">
      <c r="B12" s="250" t="s">
        <v>287</v>
      </c>
      <c r="C12" s="7" t="s">
        <v>288</v>
      </c>
    </row>
    <row r="13">
      <c r="B13" s="250" t="s">
        <v>289</v>
      </c>
      <c r="C13" s="7" t="s">
        <v>290</v>
      </c>
    </row>
    <row r="14">
      <c r="B14" s="250" t="s">
        <v>291</v>
      </c>
      <c r="C14" s="7" t="s">
        <v>292</v>
      </c>
    </row>
    <row r="15">
      <c r="B15" s="250" t="s">
        <v>293</v>
      </c>
      <c r="C15" s="7" t="s">
        <v>294</v>
      </c>
    </row>
    <row r="17">
      <c r="A17" s="192" t="s">
        <v>295</v>
      </c>
    </row>
    <row r="18">
      <c r="B18" s="250" t="s">
        <v>296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2.88"/>
    <col customWidth="1" min="3" max="3" width="9.63"/>
    <col customWidth="1" min="4" max="4" width="5.25"/>
    <col customWidth="1" min="5" max="5" width="13.63"/>
    <col customWidth="1" min="6" max="6" width="14.13"/>
    <col customWidth="1" min="7" max="7" width="9.25"/>
    <col customWidth="1" min="8" max="8" width="9.63"/>
  </cols>
  <sheetData>
    <row r="1">
      <c r="B1" s="7" t="s">
        <v>297</v>
      </c>
    </row>
    <row r="2">
      <c r="B2" s="251" t="s">
        <v>247</v>
      </c>
      <c r="C2" s="7">
        <v>8.0</v>
      </c>
      <c r="E2" s="251" t="s">
        <v>172</v>
      </c>
      <c r="F2" s="251" t="s">
        <v>2</v>
      </c>
      <c r="G2" s="251" t="s">
        <v>273</v>
      </c>
      <c r="H2" s="251" t="s">
        <v>298</v>
      </c>
    </row>
    <row r="3">
      <c r="B3" s="251" t="s">
        <v>299</v>
      </c>
      <c r="C3" s="247">
        <v>2026.0</v>
      </c>
      <c r="E3" s="10">
        <f>SUM(C9:C1000)</f>
        <v>51023000</v>
      </c>
      <c r="F3" s="10">
        <f>SUM(E9:E1000)</f>
        <v>26051300</v>
      </c>
      <c r="G3" s="10">
        <f>SUM(D9:D1000)</f>
        <v>14156439</v>
      </c>
      <c r="H3" s="10">
        <f>SUM(F9:F1000)</f>
        <v>10815261</v>
      </c>
    </row>
    <row r="4">
      <c r="B4" s="251" t="s">
        <v>300</v>
      </c>
      <c r="C4" s="19">
        <f>DATE(C3, C2, 7)</f>
        <v>46241</v>
      </c>
    </row>
    <row r="5">
      <c r="B5" s="251" t="s">
        <v>301</v>
      </c>
      <c r="C5" s="222">
        <f>DATE(C3, C2+1, 7)</f>
        <v>46272</v>
      </c>
    </row>
    <row r="8">
      <c r="B8" s="251" t="s">
        <v>3</v>
      </c>
      <c r="C8" s="251" t="s">
        <v>302</v>
      </c>
      <c r="D8" s="251" t="s">
        <v>303</v>
      </c>
      <c r="E8" s="251" t="s">
        <v>304</v>
      </c>
      <c r="F8" s="251" t="s">
        <v>298</v>
      </c>
    </row>
    <row r="9">
      <c r="B9" s="17">
        <f>IFERROR(__xludf.DUMMYFUNCTION("IFERROR(FILTER(Calc_Data!A2:E1000, Calc_Data!A2:A1000 &gt;= C4, Calc_Data!A2:A1000 &lt;= C5), ""Tidak ada data"")"),46246.0)</f>
        <v>46246</v>
      </c>
      <c r="C9" s="10">
        <f>IFERROR(__xludf.DUMMYFUNCTION("""COMPUTED_VALUE"""),9455000.0)</f>
        <v>9455000</v>
      </c>
      <c r="D9" s="10">
        <f>IFERROR(__xludf.DUMMYFUNCTION("""COMPUTED_VALUE"""),3165595.0)</f>
        <v>3165595</v>
      </c>
      <c r="E9" s="10">
        <f>IFERROR(__xludf.DUMMYFUNCTION("""COMPUTED_VALUE"""),0.0)</f>
        <v>0</v>
      </c>
      <c r="F9" s="10">
        <f>IFERROR(__xludf.DUMMYFUNCTION("""COMPUTED_VALUE"""),6289405.0)</f>
        <v>6289405</v>
      </c>
    </row>
    <row r="10">
      <c r="B10" s="17">
        <f>IFERROR(__xludf.DUMMYFUNCTION("""COMPUTED_VALUE"""),46247.0)</f>
        <v>46247</v>
      </c>
      <c r="C10" s="10">
        <f>IFERROR(__xludf.DUMMYFUNCTION("""COMPUTED_VALUE"""),0.0)</f>
        <v>0</v>
      </c>
      <c r="D10" s="10">
        <f>IFERROR(__xludf.DUMMYFUNCTION("""COMPUTED_VALUE"""),0.0)</f>
        <v>0</v>
      </c>
      <c r="E10" s="10">
        <f>IFERROR(__xludf.DUMMYFUNCTION("""COMPUTED_VALUE"""),0.0)</f>
        <v>0</v>
      </c>
      <c r="F10" s="10">
        <f>IFERROR(__xludf.DUMMYFUNCTION("""COMPUTED_VALUE"""),0.0)</f>
        <v>0</v>
      </c>
    </row>
    <row r="11">
      <c r="B11" s="17">
        <f>IFERROR(__xludf.DUMMYFUNCTION("""COMPUTED_VALUE"""),46248.0)</f>
        <v>46248</v>
      </c>
      <c r="C11" s="10">
        <f>IFERROR(__xludf.DUMMYFUNCTION("""COMPUTED_VALUE"""),1023500.0)</f>
        <v>1023500</v>
      </c>
      <c r="D11" s="10">
        <f>IFERROR(__xludf.DUMMYFUNCTION("""COMPUTED_VALUE"""),256481.0)</f>
        <v>256481</v>
      </c>
      <c r="E11" s="10">
        <f>IFERROR(__xludf.DUMMYFUNCTION("""COMPUTED_VALUE"""),3898000.0)</f>
        <v>3898000</v>
      </c>
      <c r="F11" s="10">
        <f>IFERROR(__xludf.DUMMYFUNCTION("""COMPUTED_VALUE"""),-3130981.0)</f>
        <v>-3130981</v>
      </c>
    </row>
    <row r="12">
      <c r="B12" s="17">
        <f>IFERROR(__xludf.DUMMYFUNCTION("""COMPUTED_VALUE"""),46249.0)</f>
        <v>46249</v>
      </c>
      <c r="C12" s="10">
        <f>IFERROR(__xludf.DUMMYFUNCTION("""COMPUTED_VALUE"""),4316000.0)</f>
        <v>4316000</v>
      </c>
      <c r="D12" s="10">
        <f>IFERROR(__xludf.DUMMYFUNCTION("""COMPUTED_VALUE"""),848281.0)</f>
        <v>848281</v>
      </c>
      <c r="E12" s="10">
        <f>IFERROR(__xludf.DUMMYFUNCTION("""COMPUTED_VALUE"""),81800.0)</f>
        <v>81800</v>
      </c>
      <c r="F12" s="10">
        <f>IFERROR(__xludf.DUMMYFUNCTION("""COMPUTED_VALUE"""),3385919.0)</f>
        <v>3385919</v>
      </c>
    </row>
    <row r="13">
      <c r="B13" s="17">
        <f>IFERROR(__xludf.DUMMYFUNCTION("""COMPUTED_VALUE"""),46250.0)</f>
        <v>46250</v>
      </c>
      <c r="C13" s="10">
        <f>IFERROR(__xludf.DUMMYFUNCTION("""COMPUTED_VALUE"""),2867500.0)</f>
        <v>2867500</v>
      </c>
      <c r="D13" s="10">
        <f>IFERROR(__xludf.DUMMYFUNCTION("""COMPUTED_VALUE"""),938829.0)</f>
        <v>938829</v>
      </c>
      <c r="E13" s="10">
        <f>IFERROR(__xludf.DUMMYFUNCTION("""COMPUTED_VALUE"""),125000.0)</f>
        <v>125000</v>
      </c>
      <c r="F13" s="10">
        <f>IFERROR(__xludf.DUMMYFUNCTION("""COMPUTED_VALUE"""),1803671.0)</f>
        <v>1803671</v>
      </c>
    </row>
    <row r="14">
      <c r="B14" s="17">
        <f>IFERROR(__xludf.DUMMYFUNCTION("""COMPUTED_VALUE"""),46251.0)</f>
        <v>46251</v>
      </c>
      <c r="C14" s="10">
        <f>IFERROR(__xludf.DUMMYFUNCTION("""COMPUTED_VALUE"""),2132500.0)</f>
        <v>2132500</v>
      </c>
      <c r="D14" s="10">
        <f>IFERROR(__xludf.DUMMYFUNCTION("""COMPUTED_VALUE"""),382947.0)</f>
        <v>382947</v>
      </c>
      <c r="E14" s="10">
        <f>IFERROR(__xludf.DUMMYFUNCTION("""COMPUTED_VALUE"""),400000.0)</f>
        <v>400000</v>
      </c>
      <c r="F14" s="10">
        <f>IFERROR(__xludf.DUMMYFUNCTION("""COMPUTED_VALUE"""),1349553.0)</f>
        <v>1349553</v>
      </c>
    </row>
    <row r="15">
      <c r="B15" s="17">
        <f>IFERROR(__xludf.DUMMYFUNCTION("""COMPUTED_VALUE"""),46252.0)</f>
        <v>46252</v>
      </c>
      <c r="C15" s="10">
        <f>IFERROR(__xludf.DUMMYFUNCTION("""COMPUTED_VALUE"""),909000.0)</f>
        <v>909000</v>
      </c>
      <c r="D15" s="10">
        <f>IFERROR(__xludf.DUMMYFUNCTION("""COMPUTED_VALUE"""),298501.0)</f>
        <v>298501</v>
      </c>
      <c r="E15" s="10">
        <f>IFERROR(__xludf.DUMMYFUNCTION("""COMPUTED_VALUE"""),195000.0)</f>
        <v>195000</v>
      </c>
      <c r="F15" s="10">
        <f>IFERROR(__xludf.DUMMYFUNCTION("""COMPUTED_VALUE"""),415499.0)</f>
        <v>415499</v>
      </c>
    </row>
    <row r="16">
      <c r="B16" s="17">
        <f>IFERROR(__xludf.DUMMYFUNCTION("""COMPUTED_VALUE"""),46253.0)</f>
        <v>46253</v>
      </c>
      <c r="C16" s="10">
        <f>IFERROR(__xludf.DUMMYFUNCTION("""COMPUTED_VALUE"""),1389000.0)</f>
        <v>1389000</v>
      </c>
      <c r="D16" s="10">
        <f>IFERROR(__xludf.DUMMYFUNCTION("""COMPUTED_VALUE"""),424826.0)</f>
        <v>424826</v>
      </c>
      <c r="E16" s="10">
        <f>IFERROR(__xludf.DUMMYFUNCTION("""COMPUTED_VALUE"""),2215000.0)</f>
        <v>2215000</v>
      </c>
      <c r="F16" s="10">
        <f>IFERROR(__xludf.DUMMYFUNCTION("""COMPUTED_VALUE"""),-1250826.0)</f>
        <v>-1250826</v>
      </c>
    </row>
    <row r="17">
      <c r="B17" s="17">
        <f>IFERROR(__xludf.DUMMYFUNCTION("""COMPUTED_VALUE"""),46254.0)</f>
        <v>46254</v>
      </c>
      <c r="C17" s="10">
        <f>IFERROR(__xludf.DUMMYFUNCTION("""COMPUTED_VALUE"""),4777000.0)</f>
        <v>4777000</v>
      </c>
      <c r="D17" s="10">
        <f>IFERROR(__xludf.DUMMYFUNCTION("""COMPUTED_VALUE"""),112297.0)</f>
        <v>112297</v>
      </c>
      <c r="E17" s="10">
        <f>IFERROR(__xludf.DUMMYFUNCTION("""COMPUTED_VALUE"""),1695000.0)</f>
        <v>1695000</v>
      </c>
      <c r="F17" s="10">
        <f>IFERROR(__xludf.DUMMYFUNCTION("""COMPUTED_VALUE"""),2969703.0)</f>
        <v>2969703</v>
      </c>
    </row>
    <row r="18">
      <c r="B18" s="17">
        <f>IFERROR(__xludf.DUMMYFUNCTION("""COMPUTED_VALUE"""),46255.0)</f>
        <v>46255</v>
      </c>
      <c r="C18" s="10">
        <f>IFERROR(__xludf.DUMMYFUNCTION("""COMPUTED_VALUE"""),1289000.0)</f>
        <v>1289000</v>
      </c>
      <c r="D18" s="10">
        <f>IFERROR(__xludf.DUMMYFUNCTION("""COMPUTED_VALUE"""),471553.0)</f>
        <v>471553</v>
      </c>
      <c r="E18" s="10">
        <f>IFERROR(__xludf.DUMMYFUNCTION("""COMPUTED_VALUE"""),448000.0)</f>
        <v>448000</v>
      </c>
      <c r="F18" s="10">
        <f>IFERROR(__xludf.DUMMYFUNCTION("""COMPUTED_VALUE"""),369447.0)</f>
        <v>369447</v>
      </c>
    </row>
    <row r="19">
      <c r="B19" s="17">
        <f>IFERROR(__xludf.DUMMYFUNCTION("""COMPUTED_VALUE"""),46256.0)</f>
        <v>46256</v>
      </c>
      <c r="C19" s="10">
        <f>IFERROR(__xludf.DUMMYFUNCTION("""COMPUTED_VALUE"""),2079500.0)</f>
        <v>2079500</v>
      </c>
      <c r="D19" s="10">
        <f>IFERROR(__xludf.DUMMYFUNCTION("""COMPUTED_VALUE"""),617263.0)</f>
        <v>617263</v>
      </c>
      <c r="E19" s="10">
        <f>IFERROR(__xludf.DUMMYFUNCTION("""COMPUTED_VALUE"""),465500.0)</f>
        <v>465500</v>
      </c>
      <c r="F19" s="10">
        <f>IFERROR(__xludf.DUMMYFUNCTION("""COMPUTED_VALUE"""),996737.0)</f>
        <v>996737</v>
      </c>
    </row>
    <row r="20">
      <c r="B20" s="17">
        <f>IFERROR(__xludf.DUMMYFUNCTION("""COMPUTED_VALUE"""),46257.0)</f>
        <v>46257</v>
      </c>
      <c r="C20" s="10">
        <f>IFERROR(__xludf.DUMMYFUNCTION("""COMPUTED_VALUE"""),993000.0)</f>
        <v>993000</v>
      </c>
      <c r="D20" s="10">
        <f>IFERROR(__xludf.DUMMYFUNCTION("""COMPUTED_VALUE"""),404221.0)</f>
        <v>404221</v>
      </c>
      <c r="E20" s="10">
        <f>IFERROR(__xludf.DUMMYFUNCTION("""COMPUTED_VALUE"""),280000.0)</f>
        <v>280000</v>
      </c>
      <c r="F20" s="10">
        <f>IFERROR(__xludf.DUMMYFUNCTION("""COMPUTED_VALUE"""),308779.0)</f>
        <v>308779</v>
      </c>
    </row>
    <row r="21">
      <c r="B21" s="17">
        <f>IFERROR(__xludf.DUMMYFUNCTION("""COMPUTED_VALUE"""),46258.0)</f>
        <v>46258</v>
      </c>
      <c r="C21" s="10">
        <f>IFERROR(__xludf.DUMMYFUNCTION("""COMPUTED_VALUE"""),826000.0)</f>
        <v>826000</v>
      </c>
      <c r="D21" s="10">
        <f>IFERROR(__xludf.DUMMYFUNCTION("""COMPUTED_VALUE"""),200176.0)</f>
        <v>200176</v>
      </c>
      <c r="E21" s="10">
        <f>IFERROR(__xludf.DUMMYFUNCTION("""COMPUTED_VALUE"""),28000.0)</f>
        <v>28000</v>
      </c>
      <c r="F21" s="10">
        <f>IFERROR(__xludf.DUMMYFUNCTION("""COMPUTED_VALUE"""),597824.0)</f>
        <v>597824</v>
      </c>
    </row>
    <row r="22">
      <c r="B22" s="17">
        <f>IFERROR(__xludf.DUMMYFUNCTION("""COMPUTED_VALUE"""),46259.0)</f>
        <v>46259</v>
      </c>
      <c r="C22" s="10">
        <f>IFERROR(__xludf.DUMMYFUNCTION("""COMPUTED_VALUE"""),1076000.0)</f>
        <v>1076000</v>
      </c>
      <c r="D22" s="10">
        <f>IFERROR(__xludf.DUMMYFUNCTION("""COMPUTED_VALUE"""),344849.0)</f>
        <v>344849</v>
      </c>
      <c r="E22" s="10">
        <f>IFERROR(__xludf.DUMMYFUNCTION("""COMPUTED_VALUE"""),455000.0)</f>
        <v>455000</v>
      </c>
      <c r="F22" s="10">
        <f>IFERROR(__xludf.DUMMYFUNCTION("""COMPUTED_VALUE"""),276151.0)</f>
        <v>276151</v>
      </c>
    </row>
    <row r="23">
      <c r="B23" s="17">
        <f>IFERROR(__xludf.DUMMYFUNCTION("""COMPUTED_VALUE"""),46260.0)</f>
        <v>46260</v>
      </c>
      <c r="C23" s="10">
        <f>IFERROR(__xludf.DUMMYFUNCTION("""COMPUTED_VALUE"""),691000.0)</f>
        <v>691000</v>
      </c>
      <c r="D23" s="10">
        <f>IFERROR(__xludf.DUMMYFUNCTION("""COMPUTED_VALUE"""),173735.0)</f>
        <v>173735</v>
      </c>
      <c r="E23" s="10">
        <f>IFERROR(__xludf.DUMMYFUNCTION("""COMPUTED_VALUE"""),100000.0)</f>
        <v>100000</v>
      </c>
      <c r="F23" s="10">
        <f>IFERROR(__xludf.DUMMYFUNCTION("""COMPUTED_VALUE"""),417265.0)</f>
        <v>417265</v>
      </c>
    </row>
    <row r="24">
      <c r="B24" s="17">
        <f>IFERROR(__xludf.DUMMYFUNCTION("""COMPUTED_VALUE"""),46261.0)</f>
        <v>46261</v>
      </c>
      <c r="C24" s="10">
        <f>IFERROR(__xludf.DUMMYFUNCTION("""COMPUTED_VALUE"""),1104000.0)</f>
        <v>1104000</v>
      </c>
      <c r="D24" s="10">
        <f>IFERROR(__xludf.DUMMYFUNCTION("""COMPUTED_VALUE"""),367764.0)</f>
        <v>367764</v>
      </c>
      <c r="E24" s="10">
        <f>IFERROR(__xludf.DUMMYFUNCTION("""COMPUTED_VALUE"""),350000.0)</f>
        <v>350000</v>
      </c>
      <c r="F24" s="10">
        <f>IFERROR(__xludf.DUMMYFUNCTION("""COMPUTED_VALUE"""),386236.0)</f>
        <v>386236</v>
      </c>
    </row>
    <row r="25">
      <c r="B25" s="17">
        <f>IFERROR(__xludf.DUMMYFUNCTION("""COMPUTED_VALUE"""),46262.0)</f>
        <v>46262</v>
      </c>
      <c r="C25" s="10">
        <f>IFERROR(__xludf.DUMMYFUNCTION("""COMPUTED_VALUE"""),1557000.0)</f>
        <v>1557000</v>
      </c>
      <c r="D25" s="10">
        <f>IFERROR(__xludf.DUMMYFUNCTION("""COMPUTED_VALUE"""),410112.0)</f>
        <v>410112</v>
      </c>
      <c r="E25" s="10">
        <f>IFERROR(__xludf.DUMMYFUNCTION("""COMPUTED_VALUE"""),0.0)</f>
        <v>0</v>
      </c>
      <c r="F25" s="10">
        <f>IFERROR(__xludf.DUMMYFUNCTION("""COMPUTED_VALUE"""),1146888.0)</f>
        <v>1146888</v>
      </c>
    </row>
    <row r="26">
      <c r="B26" s="17">
        <f>IFERROR(__xludf.DUMMYFUNCTION("""COMPUTED_VALUE"""),46263.0)</f>
        <v>46263</v>
      </c>
      <c r="C26" s="10">
        <f>IFERROR(__xludf.DUMMYFUNCTION("""COMPUTED_VALUE"""),2202500.0)</f>
        <v>2202500</v>
      </c>
      <c r="D26" s="10">
        <f>IFERROR(__xludf.DUMMYFUNCTION("""COMPUTED_VALUE"""),665516.0)</f>
        <v>665516</v>
      </c>
      <c r="E26" s="10">
        <f>IFERROR(__xludf.DUMMYFUNCTION("""COMPUTED_VALUE"""),574000.0)</f>
        <v>574000</v>
      </c>
      <c r="F26" s="10">
        <f>IFERROR(__xludf.DUMMYFUNCTION("""COMPUTED_VALUE"""),962984.0)</f>
        <v>962984</v>
      </c>
    </row>
    <row r="27">
      <c r="B27" s="17">
        <f>IFERROR(__xludf.DUMMYFUNCTION("""COMPUTED_VALUE"""),46264.0)</f>
        <v>46264</v>
      </c>
      <c r="C27" s="10">
        <f>IFERROR(__xludf.DUMMYFUNCTION("""COMPUTED_VALUE"""),1232500.0)</f>
        <v>1232500</v>
      </c>
      <c r="D27" s="10">
        <f>IFERROR(__xludf.DUMMYFUNCTION("""COMPUTED_VALUE"""),430645.0)</f>
        <v>430645</v>
      </c>
      <c r="E27" s="10">
        <f>IFERROR(__xludf.DUMMYFUNCTION("""COMPUTED_VALUE"""),9177000.0)</f>
        <v>9177000</v>
      </c>
      <c r="F27" s="10">
        <f>IFERROR(__xludf.DUMMYFUNCTION("""COMPUTED_VALUE"""),-8375145.0)</f>
        <v>-8375145</v>
      </c>
    </row>
    <row r="28">
      <c r="B28" s="17">
        <f>IFERROR(__xludf.DUMMYFUNCTION("""COMPUTED_VALUE"""),46265.0)</f>
        <v>46265</v>
      </c>
      <c r="C28" s="10">
        <f>IFERROR(__xludf.DUMMYFUNCTION("""COMPUTED_VALUE"""),1457500.0)</f>
        <v>1457500</v>
      </c>
      <c r="D28" s="10">
        <f>IFERROR(__xludf.DUMMYFUNCTION("""COMPUTED_VALUE"""),507915.0)</f>
        <v>507915</v>
      </c>
      <c r="E28" s="10">
        <f>IFERROR(__xludf.DUMMYFUNCTION("""COMPUTED_VALUE"""),0.0)</f>
        <v>0</v>
      </c>
      <c r="F28" s="10">
        <f>IFERROR(__xludf.DUMMYFUNCTION("""COMPUTED_VALUE"""),949585.0)</f>
        <v>949585</v>
      </c>
    </row>
    <row r="29">
      <c r="B29" s="17">
        <f>IFERROR(__xludf.DUMMYFUNCTION("""COMPUTED_VALUE"""),46266.0)</f>
        <v>46266</v>
      </c>
      <c r="C29" s="10">
        <f>IFERROR(__xludf.DUMMYFUNCTION("""COMPUTED_VALUE"""),984500.0)</f>
        <v>984500</v>
      </c>
      <c r="D29" s="10">
        <f>IFERROR(__xludf.DUMMYFUNCTION("""COMPUTED_VALUE"""),366254.0)</f>
        <v>366254</v>
      </c>
      <c r="E29" s="10">
        <f>IFERROR(__xludf.DUMMYFUNCTION("""COMPUTED_VALUE"""),139000.0)</f>
        <v>139000</v>
      </c>
      <c r="F29" s="10">
        <f>IFERROR(__xludf.DUMMYFUNCTION("""COMPUTED_VALUE"""),479246.0)</f>
        <v>479246</v>
      </c>
    </row>
    <row r="30">
      <c r="B30" s="17">
        <f>IFERROR(__xludf.DUMMYFUNCTION("""COMPUTED_VALUE"""),46267.0)</f>
        <v>46267</v>
      </c>
      <c r="C30" s="10">
        <f>IFERROR(__xludf.DUMMYFUNCTION("""COMPUTED_VALUE"""),1052000.0)</f>
        <v>1052000</v>
      </c>
      <c r="D30" s="10">
        <f>IFERROR(__xludf.DUMMYFUNCTION("""COMPUTED_VALUE"""),313440.0)</f>
        <v>313440</v>
      </c>
      <c r="E30" s="10">
        <f>IFERROR(__xludf.DUMMYFUNCTION("""COMPUTED_VALUE"""),398000.0)</f>
        <v>398000</v>
      </c>
      <c r="F30" s="10">
        <f>IFERROR(__xludf.DUMMYFUNCTION("""COMPUTED_VALUE"""),340560.0)</f>
        <v>340560</v>
      </c>
    </row>
    <row r="31">
      <c r="B31" s="17">
        <f>IFERROR(__xludf.DUMMYFUNCTION("""COMPUTED_VALUE"""),46268.0)</f>
        <v>46268</v>
      </c>
      <c r="C31" s="10">
        <f>IFERROR(__xludf.DUMMYFUNCTION("""COMPUTED_VALUE"""),775000.0)</f>
        <v>775000</v>
      </c>
      <c r="D31" s="10">
        <f>IFERROR(__xludf.DUMMYFUNCTION("""COMPUTED_VALUE"""),216969.0)</f>
        <v>216969</v>
      </c>
      <c r="E31" s="10">
        <f>IFERROR(__xludf.DUMMYFUNCTION("""COMPUTED_VALUE"""),132000.0)</f>
        <v>132000</v>
      </c>
      <c r="F31" s="10">
        <f>IFERROR(__xludf.DUMMYFUNCTION("""COMPUTED_VALUE"""),426031.0)</f>
        <v>426031</v>
      </c>
    </row>
    <row r="32">
      <c r="B32" s="17">
        <f>IFERROR(__xludf.DUMMYFUNCTION("""COMPUTED_VALUE"""),46269.0)</f>
        <v>46269</v>
      </c>
      <c r="C32" s="10">
        <f>IFERROR(__xludf.DUMMYFUNCTION("""COMPUTED_VALUE"""),1001500.0)</f>
        <v>1001500</v>
      </c>
      <c r="D32" s="10">
        <f>IFERROR(__xludf.DUMMYFUNCTION("""COMPUTED_VALUE"""),325299.0)</f>
        <v>325299</v>
      </c>
      <c r="E32" s="10">
        <f>IFERROR(__xludf.DUMMYFUNCTION("""COMPUTED_VALUE"""),248000.0)</f>
        <v>248000</v>
      </c>
      <c r="F32" s="10">
        <f>IFERROR(__xludf.DUMMYFUNCTION("""COMPUTED_VALUE"""),428201.0)</f>
        <v>428201</v>
      </c>
    </row>
    <row r="33">
      <c r="B33" s="17">
        <f>IFERROR(__xludf.DUMMYFUNCTION("""COMPUTED_VALUE"""),46270.0)</f>
        <v>46270</v>
      </c>
      <c r="C33" s="10">
        <f>IFERROR(__xludf.DUMMYFUNCTION("""COMPUTED_VALUE"""),1140500.0)</f>
        <v>1140500</v>
      </c>
      <c r="D33" s="10">
        <f>IFERROR(__xludf.DUMMYFUNCTION("""COMPUTED_VALUE"""),360417.0)</f>
        <v>360417</v>
      </c>
      <c r="E33" s="10">
        <f>IFERROR(__xludf.DUMMYFUNCTION("""COMPUTED_VALUE"""),259000.0)</f>
        <v>259000</v>
      </c>
      <c r="F33" s="10">
        <f>IFERROR(__xludf.DUMMYFUNCTION("""COMPUTED_VALUE"""),521083.0)</f>
        <v>521083</v>
      </c>
    </row>
    <row r="34">
      <c r="B34" s="17">
        <f>IFERROR(__xludf.DUMMYFUNCTION("""COMPUTED_VALUE"""),46271.0)</f>
        <v>46271</v>
      </c>
      <c r="C34" s="10">
        <f>IFERROR(__xludf.DUMMYFUNCTION("""COMPUTED_VALUE"""),1864000.0)</f>
        <v>1864000</v>
      </c>
      <c r="D34" s="10">
        <f>IFERROR(__xludf.DUMMYFUNCTION("""COMPUTED_VALUE"""),625343.0)</f>
        <v>625343</v>
      </c>
      <c r="E34" s="10">
        <f>IFERROR(__xludf.DUMMYFUNCTION("""COMPUTED_VALUE"""),0.0)</f>
        <v>0</v>
      </c>
      <c r="F34" s="10">
        <f>IFERROR(__xludf.DUMMYFUNCTION("""COMPUTED_VALUE"""),1238657.0)</f>
        <v>1238657</v>
      </c>
    </row>
    <row r="35">
      <c r="B35" s="17">
        <f>IFERROR(__xludf.DUMMYFUNCTION("""COMPUTED_VALUE"""),46272.0)</f>
        <v>46272</v>
      </c>
      <c r="C35" s="10">
        <f>IFERROR(__xludf.DUMMYFUNCTION("""COMPUTED_VALUE"""),2828000.0)</f>
        <v>2828000</v>
      </c>
      <c r="D35" s="10">
        <f>IFERROR(__xludf.DUMMYFUNCTION("""COMPUTED_VALUE"""),927211.0)</f>
        <v>927211</v>
      </c>
      <c r="E35" s="10">
        <f>IFERROR(__xludf.DUMMYFUNCTION("""COMPUTED_VALUE"""),4388000.0)</f>
        <v>4388000</v>
      </c>
      <c r="F35" s="10">
        <f>IFERROR(__xludf.DUMMYFUNCTION("""COMPUTED_VALUE"""),-2487211.0)</f>
        <v>-2487211</v>
      </c>
    </row>
    <row r="36">
      <c r="B36" s="17"/>
      <c r="C36" s="10"/>
      <c r="D36" s="10"/>
      <c r="E36" s="10"/>
      <c r="F36" s="10"/>
    </row>
    <row r="37">
      <c r="B37" s="17"/>
      <c r="C37" s="10"/>
      <c r="D37" s="10"/>
      <c r="E37" s="10"/>
      <c r="F37" s="10"/>
    </row>
    <row r="38">
      <c r="B38" s="17"/>
      <c r="C38" s="10"/>
      <c r="D38" s="10"/>
      <c r="E38" s="10"/>
      <c r="F38" s="10"/>
    </row>
    <row r="39">
      <c r="B39" s="17"/>
      <c r="C39" s="10"/>
      <c r="D39" s="10"/>
      <c r="E39" s="10"/>
      <c r="F39" s="10"/>
    </row>
    <row r="40">
      <c r="B40" s="17"/>
      <c r="C40" s="10"/>
      <c r="D40" s="10"/>
      <c r="E40" s="10"/>
      <c r="F40" s="10"/>
    </row>
    <row r="41">
      <c r="B41" s="17"/>
      <c r="C41" s="10"/>
      <c r="D41" s="10"/>
      <c r="E41" s="10"/>
      <c r="F41" s="10"/>
    </row>
    <row r="42">
      <c r="B42" s="17"/>
      <c r="C42" s="10"/>
      <c r="D42" s="10"/>
      <c r="E42" s="10"/>
      <c r="F42" s="10"/>
    </row>
    <row r="43">
      <c r="B43" s="17"/>
      <c r="C43" s="10"/>
      <c r="D43" s="10"/>
      <c r="E43" s="10"/>
      <c r="F43" s="10"/>
    </row>
    <row r="44">
      <c r="B44" s="17"/>
      <c r="C44" s="10"/>
      <c r="D44" s="10"/>
      <c r="E44" s="10"/>
      <c r="F44" s="10"/>
    </row>
    <row r="45">
      <c r="B45" s="17"/>
      <c r="C45" s="10"/>
      <c r="D45" s="10"/>
      <c r="E45" s="10"/>
      <c r="F45" s="10"/>
    </row>
    <row r="46">
      <c r="B46" s="17"/>
      <c r="C46" s="10"/>
      <c r="D46" s="10"/>
      <c r="E46" s="10"/>
      <c r="F46" s="10"/>
    </row>
    <row r="47">
      <c r="B47" s="17"/>
      <c r="C47" s="10"/>
      <c r="D47" s="10"/>
      <c r="E47" s="10"/>
      <c r="F47" s="10"/>
    </row>
    <row r="48">
      <c r="B48" s="17"/>
      <c r="C48" s="10"/>
      <c r="D48" s="10"/>
      <c r="E48" s="10"/>
      <c r="F48" s="10"/>
    </row>
    <row r="49">
      <c r="B49" s="17"/>
      <c r="C49" s="10"/>
      <c r="D49" s="10"/>
      <c r="E49" s="10"/>
      <c r="F49" s="10"/>
    </row>
    <row r="50">
      <c r="B50" s="17"/>
      <c r="C50" s="10"/>
      <c r="D50" s="10"/>
      <c r="E50" s="10"/>
      <c r="F50" s="10"/>
    </row>
    <row r="51">
      <c r="B51" s="17"/>
      <c r="C51" s="10"/>
      <c r="D51" s="10"/>
      <c r="E51" s="10"/>
      <c r="F51" s="10"/>
    </row>
    <row r="52">
      <c r="B52" s="17"/>
      <c r="C52" s="10"/>
      <c r="D52" s="10"/>
      <c r="E52" s="10"/>
      <c r="F52" s="10"/>
    </row>
    <row r="53">
      <c r="B53" s="17"/>
      <c r="C53" s="10"/>
      <c r="D53" s="10"/>
      <c r="E53" s="10"/>
      <c r="F53" s="10"/>
    </row>
    <row r="54">
      <c r="B54" s="17"/>
      <c r="C54" s="10"/>
      <c r="D54" s="10"/>
      <c r="E54" s="10"/>
      <c r="F54" s="10"/>
    </row>
    <row r="55">
      <c r="B55" s="17"/>
      <c r="C55" s="10"/>
      <c r="D55" s="10"/>
      <c r="E55" s="10"/>
      <c r="F55" s="10"/>
    </row>
    <row r="56">
      <c r="B56" s="17"/>
      <c r="C56" s="10"/>
      <c r="D56" s="10"/>
      <c r="E56" s="10"/>
      <c r="F56" s="10"/>
    </row>
    <row r="57">
      <c r="B57" s="17"/>
      <c r="C57" s="10"/>
      <c r="D57" s="10"/>
      <c r="E57" s="10"/>
      <c r="F57" s="10"/>
    </row>
    <row r="58">
      <c r="B58" s="17"/>
      <c r="C58" s="10"/>
      <c r="D58" s="10"/>
      <c r="E58" s="10"/>
      <c r="F58" s="10"/>
    </row>
    <row r="59">
      <c r="B59" s="17"/>
      <c r="C59" s="10"/>
      <c r="D59" s="10"/>
      <c r="E59" s="10"/>
      <c r="F59" s="10"/>
    </row>
    <row r="60">
      <c r="B60" s="17"/>
      <c r="C60" s="10"/>
      <c r="D60" s="10"/>
      <c r="E60" s="10"/>
      <c r="F60" s="10"/>
    </row>
    <row r="61">
      <c r="B61" s="17"/>
      <c r="C61" s="10"/>
      <c r="D61" s="10"/>
      <c r="E61" s="10"/>
      <c r="F61" s="10"/>
    </row>
    <row r="62">
      <c r="B62" s="17"/>
      <c r="C62" s="10"/>
      <c r="D62" s="10"/>
      <c r="E62" s="10"/>
      <c r="F62" s="10"/>
    </row>
    <row r="63">
      <c r="B63" s="17"/>
      <c r="C63" s="10"/>
      <c r="D63" s="10"/>
      <c r="E63" s="10"/>
      <c r="F63" s="10"/>
    </row>
    <row r="64">
      <c r="B64" s="17"/>
      <c r="C64" s="10"/>
      <c r="D64" s="10"/>
      <c r="E64" s="10"/>
      <c r="F64" s="10"/>
    </row>
    <row r="65">
      <c r="B65" s="17"/>
      <c r="C65" s="10"/>
      <c r="D65" s="10"/>
      <c r="E65" s="10"/>
      <c r="F65" s="10"/>
    </row>
    <row r="66">
      <c r="B66" s="17"/>
      <c r="C66" s="10"/>
      <c r="D66" s="10"/>
      <c r="E66" s="10"/>
      <c r="F66" s="10"/>
    </row>
    <row r="67">
      <c r="B67" s="17"/>
      <c r="C67" s="10"/>
      <c r="D67" s="10"/>
      <c r="E67" s="10"/>
      <c r="F67" s="10"/>
    </row>
    <row r="68">
      <c r="B68" s="17"/>
      <c r="C68" s="10"/>
      <c r="D68" s="10"/>
      <c r="E68" s="10"/>
      <c r="F68" s="10"/>
    </row>
    <row r="69">
      <c r="B69" s="17"/>
      <c r="C69" s="10"/>
      <c r="D69" s="10"/>
      <c r="E69" s="10"/>
      <c r="F69" s="10"/>
    </row>
    <row r="70">
      <c r="B70" s="17"/>
      <c r="C70" s="10"/>
      <c r="D70" s="10"/>
      <c r="E70" s="10"/>
      <c r="F70" s="10"/>
    </row>
    <row r="71">
      <c r="B71" s="17"/>
      <c r="C71" s="10"/>
      <c r="D71" s="10"/>
      <c r="E71" s="10"/>
      <c r="F71" s="10"/>
    </row>
    <row r="72">
      <c r="B72" s="17"/>
      <c r="C72" s="10"/>
      <c r="D72" s="10"/>
      <c r="E72" s="10"/>
      <c r="F72" s="10"/>
    </row>
    <row r="73">
      <c r="B73" s="17"/>
      <c r="C73" s="10"/>
      <c r="D73" s="10"/>
      <c r="E73" s="10"/>
      <c r="F73" s="10"/>
    </row>
    <row r="74">
      <c r="B74" s="17"/>
      <c r="C74" s="10"/>
      <c r="D74" s="10"/>
      <c r="E74" s="10"/>
      <c r="F74" s="10"/>
    </row>
    <row r="75">
      <c r="B75" s="17"/>
      <c r="C75" s="10"/>
      <c r="D75" s="10"/>
      <c r="E75" s="10"/>
      <c r="F75" s="10"/>
    </row>
    <row r="76">
      <c r="B76" s="17"/>
      <c r="C76" s="10"/>
      <c r="D76" s="10"/>
      <c r="E76" s="10"/>
      <c r="F76" s="10"/>
    </row>
    <row r="77">
      <c r="B77" s="17"/>
      <c r="C77" s="10"/>
      <c r="D77" s="10"/>
      <c r="E77" s="10"/>
      <c r="F77" s="10"/>
    </row>
    <row r="78">
      <c r="B78" s="17"/>
      <c r="C78" s="10"/>
      <c r="D78" s="10"/>
      <c r="E78" s="10"/>
      <c r="F78" s="10"/>
    </row>
    <row r="79">
      <c r="B79" s="17"/>
      <c r="C79" s="10"/>
      <c r="D79" s="10"/>
      <c r="E79" s="10"/>
      <c r="F79" s="10"/>
    </row>
    <row r="80">
      <c r="B80" s="17"/>
      <c r="C80" s="10"/>
      <c r="D80" s="10"/>
      <c r="E80" s="10"/>
      <c r="F80" s="10"/>
    </row>
    <row r="81">
      <c r="B81" s="17"/>
      <c r="C81" s="10"/>
      <c r="D81" s="10"/>
      <c r="E81" s="10"/>
      <c r="F81" s="10"/>
    </row>
    <row r="82">
      <c r="B82" s="17"/>
      <c r="C82" s="10"/>
      <c r="D82" s="10"/>
      <c r="E82" s="10"/>
      <c r="F82" s="10"/>
    </row>
    <row r="83">
      <c r="B83" s="17"/>
      <c r="C83" s="10"/>
      <c r="D83" s="10"/>
      <c r="E83" s="10"/>
      <c r="F83" s="10"/>
    </row>
    <row r="84">
      <c r="B84" s="17"/>
      <c r="C84" s="10"/>
      <c r="D84" s="10"/>
      <c r="E84" s="10"/>
      <c r="F84" s="10"/>
    </row>
    <row r="85">
      <c r="B85" s="17"/>
      <c r="C85" s="10"/>
      <c r="D85" s="10"/>
      <c r="E85" s="10"/>
      <c r="F85" s="10"/>
    </row>
    <row r="86">
      <c r="B86" s="17"/>
      <c r="C86" s="10"/>
      <c r="D86" s="10"/>
      <c r="E86" s="10"/>
      <c r="F86" s="10"/>
    </row>
    <row r="87">
      <c r="B87" s="17"/>
      <c r="C87" s="10"/>
      <c r="D87" s="10"/>
      <c r="E87" s="10"/>
      <c r="F87" s="10"/>
    </row>
    <row r="88">
      <c r="B88" s="17"/>
      <c r="C88" s="10"/>
      <c r="D88" s="10"/>
      <c r="E88" s="10"/>
      <c r="F88" s="10"/>
    </row>
    <row r="89">
      <c r="B89" s="17"/>
      <c r="C89" s="10"/>
      <c r="D89" s="10"/>
      <c r="E89" s="10"/>
      <c r="F89" s="10"/>
    </row>
    <row r="90">
      <c r="B90" s="17"/>
      <c r="C90" s="10"/>
      <c r="D90" s="10"/>
      <c r="E90" s="10"/>
      <c r="F90" s="10"/>
    </row>
    <row r="91">
      <c r="B91" s="17"/>
      <c r="C91" s="10"/>
      <c r="D91" s="10"/>
      <c r="E91" s="10"/>
      <c r="F91" s="10"/>
    </row>
    <row r="92">
      <c r="B92" s="17"/>
      <c r="C92" s="10"/>
      <c r="D92" s="10"/>
      <c r="E92" s="10"/>
      <c r="F92" s="10"/>
    </row>
    <row r="93">
      <c r="B93" s="17"/>
      <c r="C93" s="10"/>
      <c r="D93" s="10"/>
      <c r="E93" s="10"/>
      <c r="F93" s="10"/>
    </row>
    <row r="94">
      <c r="B94" s="17"/>
      <c r="C94" s="10"/>
      <c r="D94" s="10"/>
      <c r="E94" s="10"/>
      <c r="F94" s="10"/>
    </row>
    <row r="95">
      <c r="B95" s="17"/>
      <c r="C95" s="10"/>
      <c r="D95" s="10"/>
      <c r="E95" s="10"/>
      <c r="F95" s="10"/>
    </row>
    <row r="96">
      <c r="B96" s="17"/>
      <c r="C96" s="10"/>
      <c r="D96" s="10"/>
      <c r="E96" s="10"/>
      <c r="F96" s="10"/>
    </row>
    <row r="97">
      <c r="B97" s="17"/>
      <c r="C97" s="10"/>
      <c r="D97" s="10"/>
      <c r="E97" s="10"/>
      <c r="F97" s="10"/>
    </row>
    <row r="98">
      <c r="B98" s="17"/>
      <c r="C98" s="10"/>
      <c r="D98" s="10"/>
      <c r="E98" s="10"/>
      <c r="F98" s="10"/>
    </row>
    <row r="99">
      <c r="B99" s="17"/>
      <c r="C99" s="10"/>
      <c r="D99" s="10"/>
      <c r="E99" s="10"/>
      <c r="F99" s="10"/>
    </row>
    <row r="100">
      <c r="B100" s="17"/>
      <c r="C100" s="10"/>
      <c r="D100" s="10"/>
      <c r="E100" s="10"/>
      <c r="F100" s="10"/>
    </row>
    <row r="101">
      <c r="B101" s="17"/>
      <c r="C101" s="10"/>
      <c r="D101" s="10"/>
      <c r="E101" s="10"/>
      <c r="F101" s="10"/>
    </row>
    <row r="102">
      <c r="B102" s="17"/>
      <c r="C102" s="10"/>
      <c r="D102" s="10"/>
      <c r="E102" s="10"/>
      <c r="F102" s="10"/>
    </row>
    <row r="103">
      <c r="B103" s="17"/>
      <c r="C103" s="10"/>
      <c r="D103" s="10"/>
      <c r="E103" s="10"/>
      <c r="F103" s="10"/>
    </row>
    <row r="104">
      <c r="B104" s="17"/>
      <c r="C104" s="10"/>
      <c r="D104" s="10"/>
      <c r="E104" s="10"/>
      <c r="F104" s="10"/>
    </row>
    <row r="105">
      <c r="B105" s="17"/>
      <c r="C105" s="10"/>
      <c r="D105" s="10"/>
      <c r="E105" s="10"/>
      <c r="F105" s="10"/>
    </row>
    <row r="106">
      <c r="B106" s="17"/>
      <c r="C106" s="10"/>
      <c r="D106" s="10"/>
      <c r="E106" s="10"/>
      <c r="F106" s="10"/>
    </row>
    <row r="107">
      <c r="B107" s="17"/>
      <c r="C107" s="10"/>
      <c r="D107" s="10"/>
      <c r="E107" s="10"/>
      <c r="F107" s="10"/>
    </row>
    <row r="108">
      <c r="B108" s="17"/>
      <c r="C108" s="10"/>
      <c r="D108" s="10"/>
      <c r="E108" s="10"/>
      <c r="F108" s="10"/>
    </row>
    <row r="109">
      <c r="B109" s="17"/>
      <c r="C109" s="10"/>
      <c r="D109" s="10"/>
      <c r="E109" s="10"/>
      <c r="F109" s="10"/>
    </row>
    <row r="110">
      <c r="B110" s="17"/>
      <c r="C110" s="10"/>
      <c r="D110" s="10"/>
      <c r="E110" s="10"/>
      <c r="F110" s="10"/>
    </row>
    <row r="111">
      <c r="B111" s="17"/>
      <c r="C111" s="10"/>
      <c r="D111" s="10"/>
      <c r="E111" s="10"/>
      <c r="F111" s="10"/>
    </row>
    <row r="112">
      <c r="B112" s="17"/>
      <c r="C112" s="10"/>
      <c r="D112" s="10"/>
      <c r="E112" s="10"/>
      <c r="F112" s="10"/>
    </row>
    <row r="113">
      <c r="B113" s="17"/>
      <c r="C113" s="10"/>
      <c r="D113" s="10"/>
      <c r="E113" s="10"/>
      <c r="F113" s="10"/>
    </row>
    <row r="114">
      <c r="B114" s="17"/>
      <c r="C114" s="10"/>
      <c r="D114" s="10"/>
      <c r="E114" s="10"/>
      <c r="F114" s="10"/>
    </row>
    <row r="115">
      <c r="B115" s="17"/>
      <c r="C115" s="10"/>
      <c r="D115" s="10"/>
      <c r="E115" s="10"/>
      <c r="F115" s="10"/>
    </row>
    <row r="116">
      <c r="B116" s="17"/>
      <c r="C116" s="10"/>
      <c r="D116" s="10"/>
      <c r="E116" s="10"/>
      <c r="F116" s="10"/>
    </row>
    <row r="117">
      <c r="B117" s="17"/>
      <c r="C117" s="10"/>
      <c r="D117" s="10"/>
      <c r="E117" s="10"/>
      <c r="F117" s="10"/>
    </row>
    <row r="118">
      <c r="B118" s="17"/>
      <c r="C118" s="10"/>
      <c r="D118" s="10"/>
      <c r="E118" s="10"/>
      <c r="F118" s="10"/>
    </row>
    <row r="119">
      <c r="B119" s="17"/>
      <c r="C119" s="10"/>
      <c r="D119" s="10"/>
      <c r="E119" s="10"/>
      <c r="F119" s="10"/>
    </row>
    <row r="120">
      <c r="B120" s="17"/>
      <c r="C120" s="10"/>
      <c r="D120" s="10"/>
      <c r="E120" s="10"/>
      <c r="F120" s="10"/>
    </row>
    <row r="121">
      <c r="B121" s="17"/>
      <c r="C121" s="10"/>
      <c r="D121" s="10"/>
      <c r="E121" s="10"/>
      <c r="F121" s="10"/>
    </row>
    <row r="122">
      <c r="B122" s="17"/>
      <c r="C122" s="10"/>
      <c r="D122" s="10"/>
      <c r="E122" s="10"/>
      <c r="F122" s="10"/>
    </row>
    <row r="123">
      <c r="B123" s="17"/>
      <c r="C123" s="10"/>
      <c r="D123" s="10"/>
      <c r="E123" s="10"/>
      <c r="F123" s="10"/>
    </row>
    <row r="124">
      <c r="B124" s="17"/>
      <c r="C124" s="10"/>
      <c r="D124" s="10"/>
      <c r="E124" s="10"/>
      <c r="F124" s="10"/>
    </row>
    <row r="125">
      <c r="B125" s="17"/>
      <c r="C125" s="10"/>
      <c r="D125" s="10"/>
      <c r="E125" s="10"/>
      <c r="F125" s="10"/>
    </row>
    <row r="126">
      <c r="B126" s="17"/>
      <c r="C126" s="10"/>
      <c r="D126" s="10"/>
      <c r="E126" s="10"/>
      <c r="F126" s="10"/>
    </row>
    <row r="127">
      <c r="B127" s="17"/>
      <c r="C127" s="10"/>
      <c r="D127" s="10"/>
      <c r="E127" s="10"/>
      <c r="F127" s="10"/>
    </row>
    <row r="128">
      <c r="B128" s="17"/>
      <c r="C128" s="10"/>
      <c r="D128" s="10"/>
      <c r="E128" s="10"/>
      <c r="F128" s="10"/>
    </row>
    <row r="129">
      <c r="B129" s="17"/>
      <c r="C129" s="10"/>
      <c r="D129" s="10"/>
      <c r="E129" s="10"/>
      <c r="F129" s="10"/>
    </row>
    <row r="130">
      <c r="B130" s="17"/>
      <c r="C130" s="10"/>
      <c r="D130" s="10"/>
      <c r="E130" s="10"/>
      <c r="F130" s="10"/>
    </row>
    <row r="131">
      <c r="B131" s="17"/>
      <c r="C131" s="10"/>
      <c r="D131" s="10"/>
      <c r="E131" s="10"/>
      <c r="F131" s="10"/>
    </row>
    <row r="132">
      <c r="B132" s="17"/>
      <c r="C132" s="10"/>
      <c r="D132" s="10"/>
      <c r="E132" s="10"/>
      <c r="F132" s="10"/>
    </row>
    <row r="133">
      <c r="B133" s="17"/>
      <c r="C133" s="10"/>
      <c r="D133" s="10"/>
      <c r="E133" s="10"/>
      <c r="F133" s="10"/>
    </row>
    <row r="134">
      <c r="B134" s="17"/>
      <c r="C134" s="10"/>
      <c r="D134" s="10"/>
      <c r="E134" s="10"/>
      <c r="F134" s="10"/>
    </row>
    <row r="135">
      <c r="B135" s="17"/>
      <c r="C135" s="10"/>
      <c r="D135" s="10"/>
      <c r="E135" s="10"/>
      <c r="F135" s="10"/>
    </row>
    <row r="136">
      <c r="B136" s="17"/>
      <c r="C136" s="10"/>
      <c r="D136" s="10"/>
      <c r="E136" s="10"/>
      <c r="F136" s="10"/>
    </row>
    <row r="137">
      <c r="B137" s="17"/>
      <c r="C137" s="10"/>
      <c r="D137" s="10"/>
      <c r="E137" s="10"/>
      <c r="F137" s="10"/>
    </row>
    <row r="138">
      <c r="B138" s="17"/>
      <c r="C138" s="10"/>
      <c r="D138" s="10"/>
      <c r="E138" s="10"/>
      <c r="F138" s="10"/>
    </row>
    <row r="139">
      <c r="B139" s="17"/>
      <c r="C139" s="10"/>
      <c r="D139" s="10"/>
      <c r="E139" s="10"/>
      <c r="F139" s="10"/>
    </row>
    <row r="140">
      <c r="B140" s="17"/>
      <c r="C140" s="10"/>
      <c r="D140" s="10"/>
      <c r="E140" s="10"/>
      <c r="F140" s="10"/>
    </row>
    <row r="141">
      <c r="B141" s="17"/>
      <c r="C141" s="10"/>
      <c r="D141" s="10"/>
      <c r="E141" s="10"/>
      <c r="F141" s="10"/>
    </row>
    <row r="142">
      <c r="B142" s="17"/>
      <c r="C142" s="10"/>
      <c r="D142" s="10"/>
      <c r="E142" s="10"/>
      <c r="F142" s="10"/>
    </row>
    <row r="143">
      <c r="B143" s="17"/>
      <c r="C143" s="10"/>
      <c r="D143" s="10"/>
      <c r="E143" s="10"/>
      <c r="F143" s="10"/>
    </row>
    <row r="144">
      <c r="B144" s="17"/>
      <c r="C144" s="10"/>
      <c r="D144" s="10"/>
      <c r="E144" s="10"/>
      <c r="F144" s="10"/>
    </row>
    <row r="145">
      <c r="B145" s="17"/>
      <c r="C145" s="10"/>
      <c r="D145" s="10"/>
      <c r="E145" s="10"/>
      <c r="F145" s="10"/>
    </row>
    <row r="146">
      <c r="B146" s="17"/>
      <c r="C146" s="10"/>
      <c r="D146" s="10"/>
      <c r="E146" s="10"/>
      <c r="F146" s="10"/>
    </row>
    <row r="147">
      <c r="B147" s="17"/>
      <c r="C147" s="10"/>
      <c r="D147" s="10"/>
      <c r="E147" s="10"/>
      <c r="F147" s="10"/>
    </row>
    <row r="148">
      <c r="B148" s="17"/>
      <c r="C148" s="10"/>
      <c r="D148" s="10"/>
      <c r="E148" s="10"/>
      <c r="F148" s="10"/>
    </row>
    <row r="149">
      <c r="B149" s="17"/>
      <c r="C149" s="10"/>
      <c r="D149" s="10"/>
      <c r="E149" s="10"/>
      <c r="F149" s="10"/>
    </row>
    <row r="150">
      <c r="B150" s="17"/>
      <c r="C150" s="10"/>
      <c r="D150" s="10"/>
      <c r="E150" s="10"/>
      <c r="F150" s="10"/>
    </row>
    <row r="151">
      <c r="B151" s="17"/>
      <c r="C151" s="10"/>
      <c r="D151" s="10"/>
      <c r="E151" s="10"/>
      <c r="F151" s="10"/>
    </row>
    <row r="152">
      <c r="B152" s="17"/>
      <c r="C152" s="10"/>
      <c r="D152" s="10"/>
      <c r="E152" s="10"/>
      <c r="F152" s="10"/>
    </row>
    <row r="153">
      <c r="B153" s="17"/>
      <c r="C153" s="10"/>
      <c r="D153" s="10"/>
      <c r="E153" s="10"/>
      <c r="F153" s="10"/>
    </row>
    <row r="154">
      <c r="B154" s="17"/>
      <c r="C154" s="10"/>
      <c r="D154" s="10"/>
      <c r="E154" s="10"/>
      <c r="F154" s="10"/>
    </row>
    <row r="155">
      <c r="B155" s="17"/>
      <c r="C155" s="10"/>
      <c r="D155" s="10"/>
      <c r="E155" s="10"/>
      <c r="F155" s="10"/>
    </row>
    <row r="156">
      <c r="B156" s="17"/>
      <c r="C156" s="10"/>
      <c r="D156" s="10"/>
      <c r="E156" s="10"/>
      <c r="F156" s="10"/>
    </row>
    <row r="157">
      <c r="B157" s="17"/>
      <c r="C157" s="10"/>
      <c r="D157" s="10"/>
      <c r="E157" s="10"/>
      <c r="F157" s="10"/>
    </row>
    <row r="158">
      <c r="B158" s="17"/>
      <c r="C158" s="10"/>
      <c r="D158" s="10"/>
      <c r="E158" s="10"/>
      <c r="F158" s="10"/>
    </row>
    <row r="159">
      <c r="B159" s="17"/>
      <c r="C159" s="10"/>
      <c r="D159" s="10"/>
      <c r="E159" s="10"/>
      <c r="F159" s="10"/>
    </row>
    <row r="160">
      <c r="B160" s="17"/>
      <c r="C160" s="10"/>
      <c r="D160" s="10"/>
      <c r="E160" s="10"/>
      <c r="F160" s="10"/>
    </row>
    <row r="161">
      <c r="B161" s="17"/>
      <c r="C161" s="10"/>
      <c r="D161" s="10"/>
      <c r="E161" s="10"/>
      <c r="F161" s="10"/>
    </row>
    <row r="162">
      <c r="B162" s="17"/>
      <c r="C162" s="10"/>
      <c r="D162" s="10"/>
      <c r="E162" s="10"/>
      <c r="F162" s="10"/>
    </row>
    <row r="163">
      <c r="B163" s="17"/>
      <c r="C163" s="10"/>
      <c r="D163" s="10"/>
      <c r="E163" s="10"/>
      <c r="F163" s="10"/>
    </row>
    <row r="164">
      <c r="B164" s="17"/>
      <c r="C164" s="10"/>
      <c r="D164" s="10"/>
      <c r="E164" s="10"/>
      <c r="F164" s="10"/>
    </row>
    <row r="165">
      <c r="B165" s="17"/>
      <c r="C165" s="10"/>
      <c r="D165" s="10"/>
      <c r="E165" s="10"/>
      <c r="F165" s="10"/>
    </row>
    <row r="166">
      <c r="B166" s="17"/>
      <c r="C166" s="10"/>
      <c r="D166" s="10"/>
      <c r="E166" s="10"/>
      <c r="F166" s="10"/>
    </row>
    <row r="167">
      <c r="B167" s="17"/>
      <c r="C167" s="10"/>
      <c r="D167" s="10"/>
      <c r="E167" s="10"/>
      <c r="F167" s="10"/>
    </row>
    <row r="168">
      <c r="B168" s="17"/>
      <c r="C168" s="10"/>
      <c r="D168" s="10"/>
      <c r="E168" s="10"/>
      <c r="F168" s="10"/>
    </row>
    <row r="169">
      <c r="B169" s="17"/>
      <c r="C169" s="10"/>
      <c r="D169" s="10"/>
      <c r="E169" s="10"/>
      <c r="F169" s="10"/>
    </row>
    <row r="170">
      <c r="B170" s="17"/>
      <c r="C170" s="10"/>
      <c r="D170" s="10"/>
      <c r="E170" s="10"/>
      <c r="F170" s="10"/>
    </row>
    <row r="171">
      <c r="B171" s="17"/>
      <c r="C171" s="10"/>
      <c r="D171" s="10"/>
      <c r="E171" s="10"/>
      <c r="F171" s="10"/>
    </row>
    <row r="172">
      <c r="B172" s="17"/>
      <c r="C172" s="10"/>
      <c r="D172" s="10"/>
      <c r="E172" s="10"/>
      <c r="F172" s="10"/>
    </row>
    <row r="173">
      <c r="B173" s="17"/>
      <c r="C173" s="10"/>
      <c r="D173" s="10"/>
      <c r="E173" s="10"/>
      <c r="F173" s="10"/>
    </row>
    <row r="174">
      <c r="B174" s="17"/>
      <c r="C174" s="10"/>
      <c r="D174" s="10"/>
      <c r="E174" s="10"/>
      <c r="F174" s="10"/>
    </row>
    <row r="175">
      <c r="B175" s="17"/>
      <c r="C175" s="10"/>
      <c r="D175" s="10"/>
      <c r="E175" s="10"/>
      <c r="F175" s="10"/>
    </row>
    <row r="176">
      <c r="B176" s="17"/>
      <c r="C176" s="10"/>
      <c r="D176" s="10"/>
      <c r="E176" s="10"/>
      <c r="F176" s="10"/>
    </row>
    <row r="177">
      <c r="B177" s="17"/>
      <c r="C177" s="10"/>
      <c r="D177" s="10"/>
      <c r="E177" s="10"/>
      <c r="F177" s="10"/>
    </row>
    <row r="178">
      <c r="B178" s="17"/>
      <c r="C178" s="10"/>
      <c r="D178" s="10"/>
      <c r="E178" s="10"/>
      <c r="F178" s="10"/>
    </row>
    <row r="179">
      <c r="B179" s="17"/>
      <c r="C179" s="10"/>
      <c r="D179" s="10"/>
      <c r="E179" s="10"/>
      <c r="F179" s="10"/>
    </row>
    <row r="180">
      <c r="B180" s="17"/>
      <c r="C180" s="10"/>
      <c r="D180" s="10"/>
      <c r="E180" s="10"/>
      <c r="F180" s="10"/>
    </row>
    <row r="181">
      <c r="B181" s="17"/>
      <c r="C181" s="10"/>
      <c r="D181" s="10"/>
      <c r="E181" s="10"/>
      <c r="F181" s="10"/>
    </row>
    <row r="182">
      <c r="B182" s="17"/>
      <c r="C182" s="10"/>
      <c r="D182" s="10"/>
      <c r="E182" s="10"/>
      <c r="F182" s="10"/>
    </row>
    <row r="183">
      <c r="B183" s="17"/>
      <c r="C183" s="10"/>
      <c r="D183" s="10"/>
      <c r="E183" s="10"/>
      <c r="F183" s="10"/>
    </row>
    <row r="184">
      <c r="B184" s="17"/>
      <c r="C184" s="10"/>
      <c r="D184" s="10"/>
      <c r="E184" s="10"/>
      <c r="F184" s="10"/>
    </row>
    <row r="185">
      <c r="B185" s="17"/>
      <c r="C185" s="10"/>
      <c r="D185" s="10"/>
      <c r="E185" s="10"/>
      <c r="F185" s="10"/>
    </row>
    <row r="186">
      <c r="B186" s="17"/>
      <c r="C186" s="10"/>
      <c r="D186" s="10"/>
      <c r="E186" s="10"/>
      <c r="F186" s="10"/>
    </row>
    <row r="187">
      <c r="B187" s="17"/>
      <c r="C187" s="10"/>
      <c r="D187" s="10"/>
      <c r="E187" s="10"/>
      <c r="F187" s="10"/>
    </row>
    <row r="188">
      <c r="B188" s="17"/>
      <c r="C188" s="10"/>
      <c r="D188" s="10"/>
      <c r="E188" s="10"/>
      <c r="F188" s="10"/>
    </row>
    <row r="189">
      <c r="B189" s="17"/>
      <c r="C189" s="10"/>
      <c r="D189" s="10"/>
      <c r="E189" s="10"/>
      <c r="F189" s="10"/>
    </row>
    <row r="190">
      <c r="B190" s="17"/>
      <c r="C190" s="10"/>
      <c r="D190" s="10"/>
      <c r="E190" s="10"/>
      <c r="F190" s="10"/>
    </row>
    <row r="191">
      <c r="B191" s="17"/>
      <c r="C191" s="10"/>
      <c r="D191" s="10"/>
      <c r="E191" s="10"/>
      <c r="F191" s="10"/>
    </row>
    <row r="192">
      <c r="B192" s="17"/>
      <c r="C192" s="10"/>
      <c r="D192" s="10"/>
      <c r="E192" s="10"/>
      <c r="F192" s="10"/>
    </row>
    <row r="193">
      <c r="B193" s="17"/>
      <c r="C193" s="10"/>
      <c r="D193" s="10"/>
      <c r="E193" s="10"/>
      <c r="F193" s="10"/>
    </row>
    <row r="194">
      <c r="B194" s="17"/>
      <c r="C194" s="10"/>
      <c r="D194" s="10"/>
      <c r="E194" s="10"/>
      <c r="F194" s="10"/>
    </row>
    <row r="195">
      <c r="B195" s="17"/>
      <c r="C195" s="10"/>
      <c r="D195" s="10"/>
      <c r="E195" s="10"/>
      <c r="F195" s="10"/>
    </row>
    <row r="196">
      <c r="B196" s="17"/>
      <c r="C196" s="10"/>
      <c r="D196" s="10"/>
      <c r="E196" s="10"/>
      <c r="F196" s="10"/>
    </row>
    <row r="197">
      <c r="B197" s="17"/>
      <c r="C197" s="10"/>
      <c r="D197" s="10"/>
      <c r="E197" s="10"/>
      <c r="F197" s="10"/>
    </row>
    <row r="198">
      <c r="B198" s="17"/>
      <c r="C198" s="10"/>
      <c r="D198" s="10"/>
      <c r="E198" s="10"/>
      <c r="F198" s="10"/>
    </row>
    <row r="199">
      <c r="B199" s="17"/>
      <c r="C199" s="10"/>
      <c r="D199" s="10"/>
      <c r="E199" s="10"/>
      <c r="F199" s="10"/>
    </row>
    <row r="200">
      <c r="B200" s="17"/>
      <c r="C200" s="10"/>
      <c r="D200" s="10"/>
      <c r="E200" s="10"/>
      <c r="F200" s="10"/>
    </row>
    <row r="201">
      <c r="B201" s="17"/>
      <c r="C201" s="10"/>
      <c r="D201" s="10"/>
      <c r="E201" s="10"/>
      <c r="F201" s="10"/>
    </row>
    <row r="202">
      <c r="B202" s="17"/>
      <c r="C202" s="10"/>
      <c r="D202" s="10"/>
      <c r="E202" s="10"/>
      <c r="F202" s="10"/>
    </row>
    <row r="203">
      <c r="B203" s="17"/>
      <c r="C203" s="10"/>
      <c r="D203" s="10"/>
      <c r="E203" s="10"/>
      <c r="F203" s="10"/>
    </row>
    <row r="204">
      <c r="B204" s="17"/>
      <c r="C204" s="10"/>
      <c r="D204" s="10"/>
      <c r="E204" s="10"/>
      <c r="F204" s="10"/>
    </row>
    <row r="205">
      <c r="B205" s="17"/>
      <c r="C205" s="10"/>
      <c r="D205" s="10"/>
      <c r="E205" s="10"/>
      <c r="F205" s="10"/>
    </row>
    <row r="206">
      <c r="B206" s="17"/>
      <c r="C206" s="10"/>
      <c r="D206" s="10"/>
      <c r="E206" s="10"/>
      <c r="F206" s="10"/>
    </row>
    <row r="207">
      <c r="B207" s="17"/>
      <c r="C207" s="10"/>
      <c r="D207" s="10"/>
      <c r="E207" s="10"/>
      <c r="F207" s="10"/>
    </row>
    <row r="208">
      <c r="B208" s="17"/>
      <c r="C208" s="10"/>
      <c r="D208" s="10"/>
      <c r="E208" s="10"/>
      <c r="F208" s="10"/>
    </row>
    <row r="209">
      <c r="B209" s="17"/>
      <c r="C209" s="10"/>
      <c r="D209" s="10"/>
      <c r="E209" s="10"/>
      <c r="F209" s="10"/>
    </row>
    <row r="210">
      <c r="B210" s="17"/>
      <c r="C210" s="10"/>
      <c r="D210" s="10"/>
      <c r="E210" s="10"/>
      <c r="F210" s="10"/>
    </row>
    <row r="211">
      <c r="B211" s="17"/>
      <c r="C211" s="10"/>
      <c r="D211" s="10"/>
      <c r="E211" s="10"/>
      <c r="F211" s="10"/>
    </row>
    <row r="212">
      <c r="B212" s="17"/>
      <c r="C212" s="10"/>
      <c r="D212" s="10"/>
      <c r="E212" s="10"/>
      <c r="F212" s="10"/>
    </row>
    <row r="213">
      <c r="B213" s="17"/>
      <c r="C213" s="10"/>
      <c r="D213" s="10"/>
      <c r="E213" s="10"/>
      <c r="F213" s="10"/>
    </row>
    <row r="214">
      <c r="B214" s="17"/>
      <c r="C214" s="10"/>
      <c r="D214" s="10"/>
      <c r="E214" s="10"/>
      <c r="F214" s="10"/>
    </row>
    <row r="215">
      <c r="B215" s="17"/>
      <c r="C215" s="10"/>
      <c r="D215" s="10"/>
      <c r="E215" s="10"/>
      <c r="F215" s="10"/>
    </row>
    <row r="216">
      <c r="B216" s="17"/>
      <c r="C216" s="10"/>
      <c r="D216" s="10"/>
      <c r="E216" s="10"/>
      <c r="F216" s="10"/>
    </row>
    <row r="217">
      <c r="B217" s="17"/>
      <c r="C217" s="10"/>
      <c r="D217" s="10"/>
      <c r="E217" s="10"/>
      <c r="F217" s="10"/>
    </row>
    <row r="218">
      <c r="B218" s="17"/>
      <c r="C218" s="10"/>
      <c r="D218" s="10"/>
      <c r="E218" s="10"/>
      <c r="F218" s="10"/>
    </row>
    <row r="219">
      <c r="B219" s="17"/>
      <c r="C219" s="10"/>
      <c r="D219" s="10"/>
      <c r="E219" s="10"/>
      <c r="F219" s="10"/>
    </row>
    <row r="220">
      <c r="B220" s="17"/>
      <c r="C220" s="10"/>
      <c r="D220" s="10"/>
      <c r="E220" s="10"/>
      <c r="F220" s="10"/>
    </row>
    <row r="221">
      <c r="B221" s="17"/>
      <c r="C221" s="10"/>
      <c r="D221" s="10"/>
      <c r="E221" s="10"/>
      <c r="F221" s="10"/>
    </row>
    <row r="222">
      <c r="B222" s="17"/>
      <c r="C222" s="10"/>
      <c r="D222" s="10"/>
      <c r="E222" s="10"/>
      <c r="F222" s="10"/>
    </row>
    <row r="223">
      <c r="B223" s="17"/>
      <c r="C223" s="10"/>
      <c r="D223" s="10"/>
      <c r="E223" s="10"/>
      <c r="F223" s="10"/>
    </row>
    <row r="224">
      <c r="B224" s="17"/>
      <c r="C224" s="10"/>
      <c r="D224" s="10"/>
      <c r="E224" s="10"/>
      <c r="F224" s="10"/>
    </row>
    <row r="225">
      <c r="B225" s="17"/>
      <c r="C225" s="10"/>
      <c r="D225" s="10"/>
      <c r="E225" s="10"/>
      <c r="F225" s="10"/>
    </row>
    <row r="226">
      <c r="B226" s="17"/>
      <c r="C226" s="10"/>
      <c r="D226" s="10"/>
      <c r="E226" s="10"/>
      <c r="F226" s="10"/>
    </row>
    <row r="227">
      <c r="B227" s="17"/>
      <c r="C227" s="10"/>
      <c r="D227" s="10"/>
      <c r="E227" s="10"/>
      <c r="F227" s="10"/>
    </row>
    <row r="228">
      <c r="B228" s="17"/>
      <c r="C228" s="10"/>
      <c r="D228" s="10"/>
      <c r="E228" s="10"/>
      <c r="F228" s="10"/>
    </row>
    <row r="229">
      <c r="B229" s="17"/>
      <c r="C229" s="10"/>
      <c r="D229" s="10"/>
      <c r="E229" s="10"/>
      <c r="F229" s="10"/>
    </row>
    <row r="230">
      <c r="B230" s="17"/>
      <c r="C230" s="10"/>
      <c r="D230" s="10"/>
      <c r="E230" s="10"/>
      <c r="F230" s="10"/>
    </row>
    <row r="231">
      <c r="B231" s="17"/>
      <c r="C231" s="10"/>
      <c r="D231" s="10"/>
      <c r="E231" s="10"/>
      <c r="F231" s="10"/>
    </row>
    <row r="232">
      <c r="B232" s="17"/>
      <c r="C232" s="10"/>
      <c r="D232" s="10"/>
      <c r="E232" s="10"/>
      <c r="F232" s="10"/>
    </row>
    <row r="233">
      <c r="B233" s="17"/>
      <c r="C233" s="10"/>
      <c r="D233" s="10"/>
      <c r="E233" s="10"/>
      <c r="F233" s="10"/>
    </row>
    <row r="234">
      <c r="B234" s="17"/>
      <c r="C234" s="10"/>
      <c r="D234" s="10"/>
      <c r="E234" s="10"/>
      <c r="F234" s="10"/>
    </row>
    <row r="235">
      <c r="B235" s="17"/>
      <c r="C235" s="10"/>
      <c r="D235" s="10"/>
      <c r="E235" s="10"/>
      <c r="F235" s="10"/>
    </row>
    <row r="236">
      <c r="B236" s="17"/>
      <c r="C236" s="10"/>
      <c r="D236" s="10"/>
      <c r="E236" s="10"/>
      <c r="F236" s="10"/>
    </row>
    <row r="237">
      <c r="B237" s="17"/>
      <c r="C237" s="10"/>
      <c r="D237" s="10"/>
      <c r="E237" s="10"/>
      <c r="F237" s="10"/>
    </row>
    <row r="238">
      <c r="B238" s="17"/>
      <c r="C238" s="10"/>
      <c r="D238" s="10"/>
      <c r="E238" s="10"/>
      <c r="F238" s="10"/>
    </row>
    <row r="239">
      <c r="B239" s="17"/>
      <c r="C239" s="10"/>
      <c r="D239" s="10"/>
      <c r="E239" s="10"/>
      <c r="F239" s="10"/>
    </row>
    <row r="240">
      <c r="B240" s="17"/>
      <c r="C240" s="10"/>
      <c r="D240" s="10"/>
      <c r="E240" s="10"/>
      <c r="F240" s="10"/>
    </row>
    <row r="241">
      <c r="B241" s="17"/>
      <c r="C241" s="10"/>
      <c r="D241" s="10"/>
      <c r="E241" s="10"/>
      <c r="F241" s="10"/>
    </row>
    <row r="242">
      <c r="B242" s="17"/>
      <c r="C242" s="10"/>
      <c r="D242" s="10"/>
      <c r="E242" s="10"/>
      <c r="F242" s="10"/>
    </row>
    <row r="243">
      <c r="B243" s="17"/>
      <c r="C243" s="10"/>
      <c r="D243" s="10"/>
      <c r="E243" s="10"/>
      <c r="F243" s="10"/>
    </row>
    <row r="244">
      <c r="B244" s="17"/>
      <c r="C244" s="10"/>
      <c r="D244" s="10"/>
      <c r="E244" s="10"/>
      <c r="F244" s="10"/>
    </row>
    <row r="245">
      <c r="B245" s="17"/>
      <c r="C245" s="10"/>
      <c r="D245" s="10"/>
      <c r="E245" s="10"/>
      <c r="F245" s="10"/>
    </row>
    <row r="246">
      <c r="B246" s="17"/>
      <c r="C246" s="10"/>
      <c r="D246" s="10"/>
      <c r="E246" s="10"/>
      <c r="F246" s="10"/>
    </row>
    <row r="247">
      <c r="B247" s="17"/>
      <c r="C247" s="10"/>
      <c r="D247" s="10"/>
      <c r="E247" s="10"/>
      <c r="F247" s="10"/>
    </row>
    <row r="248">
      <c r="B248" s="17"/>
      <c r="C248" s="10"/>
      <c r="D248" s="10"/>
      <c r="E248" s="10"/>
      <c r="F248" s="10"/>
    </row>
    <row r="249">
      <c r="B249" s="17"/>
      <c r="C249" s="10"/>
      <c r="D249" s="10"/>
      <c r="E249" s="10"/>
      <c r="F249" s="10"/>
    </row>
    <row r="250">
      <c r="B250" s="17"/>
      <c r="C250" s="10"/>
      <c r="D250" s="10"/>
      <c r="E250" s="10"/>
      <c r="F250" s="10"/>
    </row>
    <row r="251">
      <c r="B251" s="17"/>
      <c r="C251" s="10"/>
      <c r="D251" s="10"/>
      <c r="E251" s="10"/>
      <c r="F251" s="10"/>
    </row>
    <row r="252">
      <c r="B252" s="17"/>
      <c r="C252" s="10"/>
      <c r="D252" s="10"/>
      <c r="E252" s="10"/>
      <c r="F252" s="10"/>
    </row>
    <row r="253">
      <c r="B253" s="17"/>
      <c r="C253" s="10"/>
      <c r="D253" s="10"/>
      <c r="E253" s="10"/>
      <c r="F253" s="10"/>
    </row>
    <row r="254">
      <c r="B254" s="17"/>
      <c r="C254" s="10"/>
      <c r="D254" s="10"/>
      <c r="E254" s="10"/>
      <c r="F254" s="10"/>
    </row>
    <row r="255">
      <c r="B255" s="17"/>
      <c r="C255" s="10"/>
      <c r="D255" s="10"/>
      <c r="E255" s="10"/>
      <c r="F255" s="10"/>
    </row>
    <row r="256">
      <c r="B256" s="17"/>
      <c r="C256" s="10"/>
      <c r="D256" s="10"/>
      <c r="E256" s="10"/>
      <c r="F256" s="10"/>
    </row>
    <row r="257">
      <c r="B257" s="17"/>
      <c r="C257" s="10"/>
      <c r="D257" s="10"/>
      <c r="E257" s="10"/>
      <c r="F257" s="10"/>
    </row>
    <row r="258">
      <c r="B258" s="17"/>
      <c r="C258" s="10"/>
      <c r="D258" s="10"/>
      <c r="E258" s="10"/>
      <c r="F258" s="10"/>
    </row>
    <row r="259">
      <c r="B259" s="17"/>
      <c r="C259" s="10"/>
      <c r="D259" s="10"/>
      <c r="E259" s="10"/>
      <c r="F259" s="10"/>
    </row>
    <row r="260">
      <c r="B260" s="17"/>
      <c r="C260" s="10"/>
      <c r="D260" s="10"/>
      <c r="E260" s="10"/>
      <c r="F260" s="10"/>
    </row>
    <row r="261">
      <c r="B261" s="17"/>
      <c r="C261" s="10"/>
      <c r="D261" s="10"/>
      <c r="E261" s="10"/>
      <c r="F261" s="10"/>
    </row>
    <row r="262">
      <c r="B262" s="17"/>
      <c r="C262" s="10"/>
      <c r="D262" s="10"/>
      <c r="E262" s="10"/>
      <c r="F262" s="10"/>
    </row>
    <row r="263">
      <c r="B263" s="17"/>
      <c r="C263" s="10"/>
      <c r="D263" s="10"/>
      <c r="E263" s="10"/>
      <c r="F263" s="10"/>
    </row>
    <row r="264">
      <c r="B264" s="17"/>
      <c r="C264" s="10"/>
      <c r="D264" s="10"/>
      <c r="E264" s="10"/>
      <c r="F264" s="10"/>
    </row>
    <row r="265">
      <c r="B265" s="17"/>
      <c r="C265" s="10"/>
      <c r="D265" s="10"/>
      <c r="E265" s="10"/>
      <c r="F265" s="10"/>
    </row>
    <row r="266">
      <c r="B266" s="17"/>
      <c r="C266" s="10"/>
      <c r="D266" s="10"/>
      <c r="E266" s="10"/>
      <c r="F266" s="10"/>
    </row>
    <row r="267">
      <c r="B267" s="17"/>
      <c r="C267" s="10"/>
      <c r="D267" s="10"/>
      <c r="E267" s="10"/>
      <c r="F267" s="10"/>
    </row>
    <row r="268">
      <c r="B268" s="17"/>
      <c r="C268" s="10"/>
      <c r="D268" s="10"/>
      <c r="E268" s="10"/>
      <c r="F268" s="10"/>
    </row>
    <row r="269">
      <c r="B269" s="17"/>
      <c r="C269" s="10"/>
      <c r="D269" s="10"/>
      <c r="E269" s="10"/>
      <c r="F269" s="10"/>
    </row>
    <row r="270">
      <c r="B270" s="17"/>
      <c r="C270" s="10"/>
      <c r="D270" s="10"/>
      <c r="E270" s="10"/>
      <c r="F270" s="10"/>
    </row>
    <row r="271">
      <c r="B271" s="17"/>
      <c r="C271" s="10"/>
      <c r="D271" s="10"/>
      <c r="E271" s="10"/>
      <c r="F271" s="10"/>
    </row>
    <row r="272">
      <c r="B272" s="17"/>
      <c r="C272" s="10"/>
      <c r="D272" s="10"/>
      <c r="E272" s="10"/>
      <c r="F272" s="10"/>
    </row>
    <row r="273">
      <c r="B273" s="17"/>
      <c r="C273" s="10"/>
      <c r="D273" s="10"/>
      <c r="E273" s="10"/>
      <c r="F273" s="10"/>
    </row>
    <row r="274">
      <c r="B274" s="17"/>
      <c r="C274" s="10"/>
      <c r="D274" s="10"/>
      <c r="E274" s="10"/>
      <c r="F274" s="10"/>
    </row>
    <row r="275">
      <c r="B275" s="17"/>
      <c r="C275" s="10"/>
      <c r="D275" s="10"/>
      <c r="E275" s="10"/>
      <c r="F275" s="10"/>
    </row>
    <row r="276">
      <c r="B276" s="17"/>
      <c r="C276" s="10"/>
      <c r="D276" s="10"/>
      <c r="E276" s="10"/>
      <c r="F276" s="10"/>
    </row>
    <row r="277">
      <c r="B277" s="17"/>
      <c r="C277" s="10"/>
      <c r="D277" s="10"/>
      <c r="E277" s="10"/>
      <c r="F277" s="10"/>
    </row>
    <row r="278">
      <c r="B278" s="17"/>
      <c r="C278" s="10"/>
      <c r="D278" s="10"/>
      <c r="E278" s="10"/>
      <c r="F278" s="10"/>
    </row>
    <row r="279">
      <c r="B279" s="17"/>
      <c r="C279" s="10"/>
      <c r="D279" s="10"/>
      <c r="E279" s="10"/>
      <c r="F279" s="10"/>
    </row>
    <row r="280">
      <c r="B280" s="17"/>
      <c r="C280" s="10"/>
      <c r="D280" s="10"/>
      <c r="E280" s="10"/>
      <c r="F280" s="10"/>
    </row>
    <row r="281">
      <c r="B281" s="17"/>
      <c r="C281" s="10"/>
      <c r="D281" s="10"/>
      <c r="E281" s="10"/>
      <c r="F281" s="10"/>
    </row>
    <row r="282">
      <c r="B282" s="17"/>
      <c r="C282" s="10"/>
      <c r="D282" s="10"/>
      <c r="E282" s="10"/>
      <c r="F282" s="10"/>
    </row>
    <row r="283">
      <c r="B283" s="17"/>
      <c r="C283" s="10"/>
      <c r="D283" s="10"/>
      <c r="E283" s="10"/>
      <c r="F283" s="10"/>
    </row>
    <row r="284">
      <c r="B284" s="17"/>
      <c r="C284" s="10"/>
      <c r="D284" s="10"/>
      <c r="E284" s="10"/>
      <c r="F284" s="10"/>
    </row>
    <row r="285">
      <c r="B285" s="17"/>
      <c r="C285" s="10"/>
      <c r="D285" s="10"/>
      <c r="E285" s="10"/>
      <c r="F285" s="10"/>
    </row>
    <row r="286">
      <c r="B286" s="17"/>
      <c r="C286" s="10"/>
      <c r="D286" s="10"/>
      <c r="E286" s="10"/>
      <c r="F286" s="10"/>
    </row>
    <row r="287">
      <c r="B287" s="17"/>
      <c r="C287" s="10"/>
      <c r="D287" s="10"/>
      <c r="E287" s="10"/>
      <c r="F287" s="10"/>
    </row>
    <row r="288">
      <c r="B288" s="17"/>
      <c r="C288" s="10"/>
      <c r="D288" s="10"/>
      <c r="E288" s="10"/>
      <c r="F288" s="10"/>
    </row>
    <row r="289">
      <c r="B289" s="17"/>
      <c r="C289" s="10"/>
      <c r="D289" s="10"/>
      <c r="E289" s="10"/>
      <c r="F289" s="10"/>
    </row>
    <row r="290">
      <c r="B290" s="17"/>
      <c r="C290" s="10"/>
      <c r="D290" s="10"/>
      <c r="E290" s="10"/>
      <c r="F290" s="10"/>
    </row>
    <row r="291">
      <c r="B291" s="17"/>
      <c r="C291" s="10"/>
      <c r="D291" s="10"/>
      <c r="E291" s="10"/>
      <c r="F291" s="10"/>
    </row>
    <row r="292">
      <c r="B292" s="17"/>
      <c r="C292" s="10"/>
      <c r="D292" s="10"/>
      <c r="E292" s="10"/>
      <c r="F292" s="10"/>
    </row>
    <row r="293">
      <c r="B293" s="17"/>
      <c r="C293" s="10"/>
      <c r="D293" s="10"/>
      <c r="E293" s="10"/>
      <c r="F293" s="10"/>
    </row>
    <row r="294">
      <c r="B294" s="17"/>
      <c r="C294" s="10"/>
      <c r="D294" s="10"/>
      <c r="E294" s="10"/>
      <c r="F294" s="10"/>
    </row>
    <row r="295">
      <c r="B295" s="17"/>
      <c r="C295" s="10"/>
      <c r="D295" s="10"/>
      <c r="E295" s="10"/>
      <c r="F295" s="10"/>
    </row>
    <row r="296">
      <c r="B296" s="17"/>
      <c r="C296" s="10"/>
      <c r="D296" s="10"/>
      <c r="E296" s="10"/>
      <c r="F296" s="10"/>
    </row>
    <row r="297">
      <c r="B297" s="17"/>
      <c r="C297" s="10"/>
      <c r="D297" s="10"/>
      <c r="E297" s="10"/>
      <c r="F297" s="10"/>
    </row>
    <row r="298">
      <c r="B298" s="17"/>
      <c r="C298" s="10"/>
      <c r="D298" s="10"/>
      <c r="E298" s="10"/>
      <c r="F298" s="10"/>
    </row>
    <row r="299">
      <c r="B299" s="17"/>
      <c r="C299" s="10"/>
      <c r="D299" s="10"/>
      <c r="E299" s="10"/>
      <c r="F299" s="10"/>
    </row>
    <row r="300">
      <c r="B300" s="17"/>
      <c r="C300" s="10"/>
      <c r="D300" s="10"/>
      <c r="E300" s="10"/>
      <c r="F300" s="10"/>
    </row>
    <row r="301">
      <c r="B301" s="17"/>
      <c r="C301" s="10"/>
      <c r="D301" s="10"/>
      <c r="E301" s="10"/>
      <c r="F301" s="10"/>
    </row>
    <row r="302">
      <c r="B302" s="17"/>
      <c r="C302" s="10"/>
      <c r="D302" s="10"/>
      <c r="E302" s="10"/>
      <c r="F302" s="10"/>
    </row>
    <row r="303">
      <c r="B303" s="17"/>
      <c r="C303" s="10"/>
      <c r="D303" s="10"/>
      <c r="E303" s="10"/>
      <c r="F303" s="10"/>
    </row>
    <row r="304">
      <c r="B304" s="17"/>
      <c r="C304" s="10"/>
      <c r="D304" s="10"/>
      <c r="E304" s="10"/>
      <c r="F304" s="10"/>
    </row>
    <row r="305">
      <c r="B305" s="17"/>
      <c r="C305" s="10"/>
      <c r="D305" s="10"/>
      <c r="E305" s="10"/>
      <c r="F305" s="10"/>
    </row>
    <row r="306">
      <c r="B306" s="17"/>
      <c r="C306" s="10"/>
      <c r="D306" s="10"/>
      <c r="E306" s="10"/>
      <c r="F306" s="10"/>
    </row>
    <row r="307">
      <c r="B307" s="17"/>
      <c r="C307" s="10"/>
      <c r="D307" s="10"/>
      <c r="E307" s="10"/>
      <c r="F307" s="10"/>
    </row>
    <row r="308">
      <c r="B308" s="17"/>
      <c r="C308" s="10"/>
      <c r="D308" s="10"/>
      <c r="E308" s="10"/>
      <c r="F308" s="10"/>
    </row>
    <row r="309">
      <c r="B309" s="17"/>
      <c r="C309" s="10"/>
      <c r="D309" s="10"/>
      <c r="E309" s="10"/>
      <c r="F309" s="10"/>
    </row>
    <row r="310">
      <c r="B310" s="17"/>
      <c r="C310" s="10"/>
      <c r="D310" s="10"/>
      <c r="E310" s="10"/>
      <c r="F310" s="10"/>
    </row>
    <row r="311">
      <c r="B311" s="17"/>
      <c r="C311" s="10"/>
      <c r="D311" s="10"/>
      <c r="E311" s="10"/>
      <c r="F311" s="10"/>
    </row>
    <row r="312">
      <c r="B312" s="17"/>
      <c r="C312" s="10"/>
      <c r="D312" s="10"/>
      <c r="E312" s="10"/>
      <c r="F312" s="10"/>
    </row>
    <row r="313">
      <c r="B313" s="17"/>
      <c r="C313" s="10"/>
      <c r="D313" s="10"/>
      <c r="E313" s="10"/>
      <c r="F313" s="10"/>
    </row>
    <row r="314">
      <c r="B314" s="17"/>
      <c r="C314" s="10"/>
      <c r="D314" s="10"/>
      <c r="E314" s="10"/>
      <c r="F314" s="10"/>
    </row>
    <row r="315">
      <c r="B315" s="17"/>
      <c r="C315" s="10"/>
      <c r="D315" s="10"/>
      <c r="E315" s="10"/>
      <c r="F315" s="10"/>
    </row>
    <row r="316">
      <c r="B316" s="17"/>
      <c r="C316" s="10"/>
      <c r="D316" s="10"/>
      <c r="E316" s="10"/>
      <c r="F316" s="10"/>
    </row>
    <row r="317">
      <c r="B317" s="17"/>
      <c r="C317" s="10"/>
      <c r="D317" s="10"/>
      <c r="E317" s="10"/>
      <c r="F317" s="10"/>
    </row>
    <row r="318">
      <c r="B318" s="17"/>
      <c r="C318" s="10"/>
      <c r="D318" s="10"/>
      <c r="E318" s="10"/>
      <c r="F318" s="10"/>
    </row>
    <row r="319">
      <c r="B319" s="17"/>
      <c r="C319" s="10"/>
      <c r="D319" s="10"/>
      <c r="E319" s="10"/>
      <c r="F319" s="10"/>
    </row>
    <row r="320">
      <c r="B320" s="17"/>
      <c r="C320" s="10"/>
      <c r="D320" s="10"/>
      <c r="E320" s="10"/>
      <c r="F320" s="10"/>
    </row>
    <row r="321">
      <c r="B321" s="17"/>
      <c r="C321" s="10"/>
      <c r="D321" s="10"/>
      <c r="E321" s="10"/>
      <c r="F321" s="10"/>
    </row>
    <row r="322">
      <c r="B322" s="17"/>
      <c r="C322" s="10"/>
      <c r="D322" s="10"/>
      <c r="E322" s="10"/>
      <c r="F322" s="10"/>
    </row>
    <row r="323">
      <c r="B323" s="17"/>
      <c r="C323" s="10"/>
      <c r="D323" s="10"/>
      <c r="E323" s="10"/>
      <c r="F323" s="10"/>
    </row>
    <row r="324">
      <c r="B324" s="17"/>
      <c r="C324" s="10"/>
      <c r="D324" s="10"/>
      <c r="E324" s="10"/>
      <c r="F324" s="10"/>
    </row>
    <row r="325">
      <c r="B325" s="17"/>
      <c r="C325" s="10"/>
      <c r="D325" s="10"/>
      <c r="E325" s="10"/>
      <c r="F325" s="10"/>
    </row>
    <row r="326">
      <c r="B326" s="17"/>
      <c r="C326" s="10"/>
      <c r="D326" s="10"/>
      <c r="E326" s="10"/>
      <c r="F326" s="10"/>
    </row>
    <row r="327">
      <c r="B327" s="17"/>
      <c r="C327" s="10"/>
      <c r="D327" s="10"/>
      <c r="E327" s="10"/>
      <c r="F327" s="10"/>
    </row>
    <row r="328">
      <c r="B328" s="17"/>
      <c r="C328" s="10"/>
      <c r="D328" s="10"/>
      <c r="E328" s="10"/>
      <c r="F328" s="10"/>
    </row>
    <row r="329">
      <c r="B329" s="17"/>
      <c r="C329" s="10"/>
      <c r="D329" s="10"/>
      <c r="E329" s="10"/>
      <c r="F329" s="10"/>
    </row>
    <row r="330">
      <c r="B330" s="17"/>
      <c r="C330" s="10"/>
      <c r="D330" s="10"/>
      <c r="E330" s="10"/>
      <c r="F330" s="10"/>
    </row>
    <row r="331">
      <c r="B331" s="17"/>
      <c r="C331" s="10"/>
      <c r="D331" s="10"/>
      <c r="E331" s="10"/>
      <c r="F331" s="10"/>
    </row>
    <row r="332">
      <c r="B332" s="17"/>
      <c r="C332" s="10"/>
      <c r="D332" s="10"/>
      <c r="E332" s="10"/>
      <c r="F332" s="10"/>
    </row>
    <row r="333">
      <c r="B333" s="17"/>
      <c r="C333" s="10"/>
      <c r="D333" s="10"/>
      <c r="E333" s="10"/>
      <c r="F333" s="10"/>
    </row>
    <row r="334">
      <c r="B334" s="17"/>
      <c r="C334" s="10"/>
      <c r="D334" s="10"/>
      <c r="E334" s="10"/>
      <c r="F334" s="10"/>
    </row>
    <row r="335">
      <c r="B335" s="17"/>
      <c r="C335" s="10"/>
      <c r="D335" s="10"/>
      <c r="E335" s="10"/>
      <c r="F335" s="10"/>
    </row>
    <row r="336">
      <c r="B336" s="17"/>
      <c r="C336" s="10"/>
      <c r="D336" s="10"/>
      <c r="E336" s="10"/>
      <c r="F336" s="10"/>
    </row>
    <row r="337">
      <c r="B337" s="17"/>
      <c r="C337" s="10"/>
      <c r="D337" s="10"/>
      <c r="E337" s="10"/>
      <c r="F337" s="10"/>
    </row>
    <row r="338">
      <c r="B338" s="17"/>
      <c r="C338" s="10"/>
      <c r="D338" s="10"/>
      <c r="E338" s="10"/>
      <c r="F338" s="10"/>
    </row>
    <row r="339">
      <c r="B339" s="17"/>
      <c r="C339" s="10"/>
      <c r="D339" s="10"/>
      <c r="E339" s="10"/>
      <c r="F339" s="10"/>
    </row>
    <row r="340">
      <c r="B340" s="17"/>
      <c r="C340" s="10"/>
      <c r="D340" s="10"/>
      <c r="E340" s="10"/>
      <c r="F340" s="10"/>
    </row>
    <row r="341">
      <c r="B341" s="17"/>
      <c r="C341" s="10"/>
      <c r="D341" s="10"/>
      <c r="E341" s="10"/>
      <c r="F341" s="10"/>
    </row>
    <row r="342">
      <c r="B342" s="17"/>
      <c r="C342" s="10"/>
      <c r="D342" s="10"/>
      <c r="E342" s="10"/>
      <c r="F342" s="10"/>
    </row>
    <row r="343">
      <c r="B343" s="17"/>
      <c r="C343" s="10"/>
      <c r="D343" s="10"/>
      <c r="E343" s="10"/>
      <c r="F343" s="10"/>
    </row>
    <row r="344">
      <c r="B344" s="17"/>
      <c r="C344" s="10"/>
      <c r="D344" s="10"/>
      <c r="E344" s="10"/>
      <c r="F344" s="10"/>
    </row>
    <row r="345">
      <c r="B345" s="17"/>
      <c r="C345" s="10"/>
      <c r="D345" s="10"/>
      <c r="E345" s="10"/>
      <c r="F345" s="10"/>
    </row>
    <row r="346">
      <c r="B346" s="17"/>
      <c r="C346" s="10"/>
      <c r="D346" s="10"/>
      <c r="E346" s="10"/>
      <c r="F346" s="10"/>
    </row>
    <row r="347">
      <c r="B347" s="17"/>
      <c r="C347" s="10"/>
      <c r="D347" s="10"/>
      <c r="E347" s="10"/>
      <c r="F347" s="10"/>
    </row>
    <row r="348">
      <c r="B348" s="17"/>
      <c r="C348" s="10"/>
      <c r="D348" s="10"/>
      <c r="E348" s="10"/>
      <c r="F348" s="10"/>
    </row>
    <row r="349">
      <c r="B349" s="17"/>
      <c r="C349" s="10"/>
      <c r="D349" s="10"/>
      <c r="E349" s="10"/>
      <c r="F349" s="10"/>
    </row>
    <row r="350">
      <c r="B350" s="17"/>
      <c r="C350" s="10"/>
      <c r="D350" s="10"/>
      <c r="E350" s="10"/>
      <c r="F350" s="10"/>
    </row>
    <row r="351">
      <c r="B351" s="17"/>
      <c r="C351" s="10"/>
      <c r="D351" s="10"/>
      <c r="E351" s="10"/>
      <c r="F351" s="10"/>
    </row>
    <row r="352">
      <c r="B352" s="17"/>
      <c r="C352" s="10"/>
      <c r="D352" s="10"/>
      <c r="E352" s="10"/>
      <c r="F352" s="10"/>
    </row>
    <row r="353">
      <c r="B353" s="17"/>
      <c r="C353" s="10"/>
      <c r="D353" s="10"/>
      <c r="E353" s="10"/>
      <c r="F353" s="10"/>
    </row>
    <row r="354">
      <c r="B354" s="17"/>
      <c r="C354" s="10"/>
      <c r="D354" s="10"/>
      <c r="E354" s="10"/>
      <c r="F354" s="10"/>
    </row>
    <row r="355">
      <c r="B355" s="17"/>
      <c r="C355" s="10"/>
      <c r="D355" s="10"/>
      <c r="E355" s="10"/>
      <c r="F355" s="10"/>
    </row>
    <row r="356">
      <c r="B356" s="17"/>
      <c r="C356" s="10"/>
      <c r="D356" s="10"/>
      <c r="E356" s="10"/>
      <c r="F356" s="10"/>
    </row>
    <row r="357">
      <c r="B357" s="17"/>
      <c r="C357" s="10"/>
      <c r="D357" s="10"/>
      <c r="E357" s="10"/>
      <c r="F357" s="10"/>
    </row>
    <row r="358">
      <c r="B358" s="17"/>
      <c r="C358" s="10"/>
      <c r="D358" s="10"/>
      <c r="E358" s="10"/>
      <c r="F358" s="10"/>
    </row>
    <row r="359">
      <c r="B359" s="17"/>
      <c r="C359" s="10"/>
      <c r="D359" s="10"/>
      <c r="E359" s="10"/>
      <c r="F359" s="10"/>
    </row>
    <row r="360">
      <c r="B360" s="17"/>
      <c r="C360" s="10"/>
      <c r="D360" s="10"/>
      <c r="E360" s="10"/>
      <c r="F360" s="10"/>
    </row>
    <row r="361">
      <c r="B361" s="17"/>
      <c r="C361" s="10"/>
      <c r="D361" s="10"/>
      <c r="E361" s="10"/>
      <c r="F361" s="10"/>
    </row>
    <row r="362">
      <c r="B362" s="17"/>
      <c r="C362" s="10"/>
      <c r="D362" s="10"/>
      <c r="E362" s="10"/>
      <c r="F362" s="10"/>
    </row>
    <row r="363">
      <c r="B363" s="17"/>
      <c r="C363" s="10"/>
      <c r="D363" s="10"/>
      <c r="E363" s="10"/>
      <c r="F363" s="10"/>
    </row>
    <row r="364">
      <c r="B364" s="17"/>
      <c r="C364" s="10"/>
      <c r="D364" s="10"/>
      <c r="E364" s="10"/>
      <c r="F364" s="10"/>
    </row>
    <row r="365">
      <c r="B365" s="17"/>
      <c r="C365" s="10"/>
      <c r="D365" s="10"/>
      <c r="E365" s="10"/>
      <c r="F365" s="10"/>
    </row>
    <row r="366">
      <c r="B366" s="17"/>
      <c r="C366" s="10"/>
      <c r="D366" s="10"/>
      <c r="E366" s="10"/>
      <c r="F366" s="10"/>
    </row>
    <row r="367">
      <c r="B367" s="17"/>
      <c r="C367" s="10"/>
      <c r="D367" s="10"/>
      <c r="E367" s="10"/>
      <c r="F367" s="10"/>
    </row>
    <row r="368">
      <c r="B368" s="17"/>
      <c r="C368" s="10"/>
      <c r="D368" s="10"/>
      <c r="E368" s="10"/>
      <c r="F368" s="10"/>
    </row>
    <row r="369">
      <c r="B369" s="17"/>
      <c r="C369" s="10"/>
      <c r="D369" s="10"/>
      <c r="E369" s="10"/>
      <c r="F369" s="10"/>
    </row>
    <row r="370">
      <c r="B370" s="17"/>
      <c r="C370" s="10"/>
      <c r="D370" s="10"/>
      <c r="E370" s="10"/>
      <c r="F370" s="10"/>
    </row>
    <row r="371">
      <c r="B371" s="17"/>
      <c r="C371" s="10"/>
      <c r="D371" s="10"/>
      <c r="E371" s="10"/>
      <c r="F371" s="10"/>
    </row>
    <row r="372">
      <c r="B372" s="17"/>
      <c r="C372" s="10"/>
      <c r="D372" s="10"/>
      <c r="E372" s="10"/>
      <c r="F372" s="10"/>
    </row>
    <row r="373">
      <c r="B373" s="17"/>
      <c r="C373" s="10"/>
      <c r="D373" s="10"/>
      <c r="E373" s="10"/>
      <c r="F373" s="10"/>
    </row>
    <row r="374">
      <c r="B374" s="17"/>
      <c r="C374" s="10"/>
      <c r="D374" s="10"/>
      <c r="E374" s="10"/>
      <c r="F374" s="10"/>
    </row>
    <row r="375">
      <c r="B375" s="17"/>
      <c r="C375" s="10"/>
      <c r="D375" s="10"/>
      <c r="E375" s="10"/>
      <c r="F375" s="10"/>
    </row>
    <row r="376">
      <c r="B376" s="17"/>
      <c r="C376" s="10"/>
      <c r="D376" s="10"/>
      <c r="E376" s="10"/>
      <c r="F376" s="10"/>
    </row>
    <row r="377">
      <c r="B377" s="17"/>
      <c r="C377" s="10"/>
      <c r="D377" s="10"/>
      <c r="E377" s="10"/>
      <c r="F377" s="10"/>
    </row>
    <row r="378">
      <c r="B378" s="17"/>
      <c r="C378" s="10"/>
      <c r="D378" s="10"/>
      <c r="E378" s="10"/>
      <c r="F378" s="10"/>
    </row>
    <row r="379">
      <c r="B379" s="17"/>
      <c r="C379" s="10"/>
      <c r="D379" s="10"/>
      <c r="E379" s="10"/>
      <c r="F379" s="10"/>
    </row>
    <row r="380">
      <c r="B380" s="17"/>
      <c r="C380" s="10"/>
      <c r="D380" s="10"/>
      <c r="E380" s="10"/>
      <c r="F380" s="10"/>
    </row>
    <row r="381">
      <c r="B381" s="17"/>
      <c r="C381" s="10"/>
      <c r="D381" s="10"/>
      <c r="E381" s="10"/>
      <c r="F381" s="10"/>
    </row>
    <row r="382">
      <c r="B382" s="17"/>
      <c r="C382" s="10"/>
      <c r="D382" s="10"/>
      <c r="E382" s="10"/>
      <c r="F382" s="10"/>
    </row>
    <row r="383">
      <c r="B383" s="17"/>
      <c r="C383" s="10"/>
      <c r="D383" s="10"/>
      <c r="E383" s="10"/>
      <c r="F383" s="10"/>
    </row>
    <row r="384">
      <c r="B384" s="17"/>
      <c r="C384" s="10"/>
      <c r="D384" s="10"/>
      <c r="E384" s="10"/>
      <c r="F384" s="10"/>
    </row>
    <row r="385">
      <c r="B385" s="17"/>
      <c r="C385" s="10"/>
      <c r="D385" s="10"/>
      <c r="E385" s="10"/>
      <c r="F385" s="10"/>
    </row>
    <row r="386">
      <c r="B386" s="17"/>
      <c r="C386" s="10"/>
      <c r="D386" s="10"/>
      <c r="E386" s="10"/>
      <c r="F386" s="10"/>
    </row>
    <row r="387">
      <c r="B387" s="17"/>
      <c r="C387" s="10"/>
      <c r="D387" s="10"/>
      <c r="E387" s="10"/>
      <c r="F387" s="10"/>
    </row>
    <row r="388">
      <c r="B388" s="17"/>
      <c r="C388" s="10"/>
      <c r="D388" s="10"/>
      <c r="E388" s="10"/>
      <c r="F388" s="10"/>
    </row>
    <row r="389">
      <c r="B389" s="17"/>
      <c r="C389" s="10"/>
      <c r="D389" s="10"/>
      <c r="E389" s="10"/>
      <c r="F389" s="10"/>
    </row>
    <row r="390">
      <c r="B390" s="17"/>
      <c r="C390" s="10"/>
      <c r="D390" s="10"/>
      <c r="E390" s="10"/>
      <c r="F390" s="10"/>
    </row>
    <row r="391">
      <c r="B391" s="17"/>
      <c r="C391" s="10"/>
      <c r="D391" s="10"/>
      <c r="E391" s="10"/>
      <c r="F391" s="10"/>
    </row>
    <row r="392">
      <c r="B392" s="17"/>
      <c r="C392" s="10"/>
      <c r="D392" s="10"/>
      <c r="E392" s="10"/>
      <c r="F392" s="10"/>
    </row>
    <row r="393">
      <c r="B393" s="17"/>
      <c r="C393" s="10"/>
      <c r="D393" s="10"/>
      <c r="E393" s="10"/>
      <c r="F393" s="10"/>
    </row>
    <row r="394">
      <c r="B394" s="17"/>
      <c r="C394" s="10"/>
      <c r="D394" s="10"/>
      <c r="E394" s="10"/>
      <c r="F394" s="10"/>
    </row>
    <row r="395">
      <c r="B395" s="17"/>
      <c r="C395" s="10"/>
      <c r="D395" s="10"/>
      <c r="E395" s="10"/>
      <c r="F395" s="10"/>
    </row>
    <row r="396">
      <c r="B396" s="17"/>
      <c r="C396" s="10"/>
      <c r="D396" s="10"/>
      <c r="E396" s="10"/>
      <c r="F396" s="10"/>
    </row>
    <row r="397">
      <c r="B397" s="17"/>
      <c r="C397" s="10"/>
      <c r="D397" s="10"/>
      <c r="E397" s="10"/>
      <c r="F397" s="10"/>
    </row>
    <row r="398">
      <c r="B398" s="17"/>
      <c r="C398" s="10"/>
      <c r="D398" s="10"/>
      <c r="E398" s="10"/>
      <c r="F398" s="10"/>
    </row>
    <row r="399">
      <c r="B399" s="17"/>
      <c r="C399" s="10"/>
      <c r="D399" s="10"/>
      <c r="E399" s="10"/>
      <c r="F399" s="10"/>
    </row>
    <row r="400">
      <c r="B400" s="17"/>
      <c r="C400" s="10"/>
      <c r="D400" s="10"/>
      <c r="E400" s="10"/>
      <c r="F400" s="10"/>
    </row>
    <row r="401">
      <c r="B401" s="17"/>
      <c r="C401" s="10"/>
      <c r="D401" s="10"/>
      <c r="E401" s="10"/>
      <c r="F401" s="10"/>
    </row>
    <row r="402">
      <c r="B402" s="17"/>
      <c r="C402" s="10"/>
      <c r="D402" s="10"/>
      <c r="E402" s="10"/>
      <c r="F402" s="10"/>
    </row>
    <row r="403">
      <c r="B403" s="17"/>
      <c r="C403" s="10"/>
      <c r="D403" s="10"/>
      <c r="E403" s="10"/>
      <c r="F403" s="10"/>
    </row>
    <row r="404">
      <c r="B404" s="17"/>
      <c r="C404" s="10"/>
      <c r="D404" s="10"/>
      <c r="E404" s="10"/>
      <c r="F404" s="10"/>
    </row>
    <row r="405">
      <c r="B405" s="17"/>
      <c r="C405" s="10"/>
      <c r="D405" s="10"/>
      <c r="E405" s="10"/>
      <c r="F405" s="10"/>
    </row>
    <row r="406">
      <c r="B406" s="17"/>
      <c r="C406" s="10"/>
      <c r="D406" s="10"/>
      <c r="E406" s="10"/>
      <c r="F406" s="10"/>
    </row>
    <row r="407">
      <c r="B407" s="17"/>
      <c r="C407" s="10"/>
      <c r="D407" s="10"/>
      <c r="E407" s="10"/>
      <c r="F407" s="10"/>
    </row>
    <row r="408">
      <c r="B408" s="17"/>
      <c r="C408" s="10"/>
      <c r="D408" s="10"/>
      <c r="E408" s="10"/>
      <c r="F408" s="10"/>
    </row>
    <row r="409">
      <c r="B409" s="17"/>
      <c r="C409" s="10"/>
      <c r="D409" s="10"/>
      <c r="E409" s="10"/>
      <c r="F409" s="10"/>
    </row>
    <row r="410">
      <c r="B410" s="17"/>
      <c r="C410" s="10"/>
      <c r="D410" s="10"/>
      <c r="E410" s="10"/>
      <c r="F410" s="10"/>
    </row>
    <row r="411">
      <c r="B411" s="17"/>
      <c r="C411" s="10"/>
      <c r="D411" s="10"/>
      <c r="E411" s="10"/>
      <c r="F411" s="10"/>
    </row>
    <row r="412">
      <c r="B412" s="17"/>
      <c r="C412" s="10"/>
      <c r="D412" s="10"/>
      <c r="E412" s="10"/>
      <c r="F412" s="10"/>
    </row>
    <row r="413">
      <c r="B413" s="17"/>
      <c r="C413" s="10"/>
      <c r="D413" s="10"/>
      <c r="E413" s="10"/>
      <c r="F413" s="10"/>
    </row>
    <row r="414">
      <c r="B414" s="17"/>
      <c r="C414" s="10"/>
      <c r="D414" s="10"/>
      <c r="E414" s="10"/>
      <c r="F414" s="10"/>
    </row>
    <row r="415">
      <c r="B415" s="17"/>
      <c r="C415" s="10"/>
      <c r="D415" s="10"/>
      <c r="E415" s="10"/>
      <c r="F415" s="10"/>
    </row>
    <row r="416">
      <c r="B416" s="17"/>
      <c r="C416" s="10"/>
      <c r="D416" s="10"/>
      <c r="E416" s="10"/>
      <c r="F416" s="10"/>
    </row>
    <row r="417">
      <c r="B417" s="17"/>
      <c r="C417" s="10"/>
      <c r="D417" s="10"/>
      <c r="E417" s="10"/>
      <c r="F417" s="10"/>
    </row>
    <row r="418">
      <c r="B418" s="17"/>
      <c r="C418" s="10"/>
      <c r="D418" s="10"/>
      <c r="E418" s="10"/>
      <c r="F418" s="10"/>
    </row>
    <row r="419">
      <c r="B419" s="17"/>
      <c r="C419" s="10"/>
      <c r="D419" s="10"/>
      <c r="E419" s="10"/>
      <c r="F419" s="10"/>
    </row>
    <row r="420">
      <c r="B420" s="17"/>
      <c r="C420" s="10"/>
      <c r="D420" s="10"/>
      <c r="E420" s="10"/>
      <c r="F420" s="10"/>
    </row>
    <row r="421">
      <c r="B421" s="17"/>
      <c r="C421" s="10"/>
      <c r="D421" s="10"/>
      <c r="E421" s="10"/>
      <c r="F421" s="10"/>
    </row>
    <row r="422">
      <c r="B422" s="17"/>
      <c r="C422" s="10"/>
      <c r="D422" s="10"/>
      <c r="E422" s="10"/>
      <c r="F422" s="10"/>
    </row>
    <row r="423">
      <c r="B423" s="17"/>
      <c r="C423" s="10"/>
      <c r="D423" s="10"/>
      <c r="E423" s="10"/>
      <c r="F423" s="10"/>
    </row>
    <row r="424">
      <c r="B424" s="17"/>
      <c r="C424" s="10"/>
      <c r="D424" s="10"/>
      <c r="E424" s="10"/>
      <c r="F424" s="10"/>
    </row>
    <row r="425">
      <c r="B425" s="17"/>
      <c r="C425" s="10"/>
      <c r="D425" s="10"/>
      <c r="E425" s="10"/>
      <c r="F425" s="10"/>
    </row>
    <row r="426">
      <c r="B426" s="17"/>
      <c r="C426" s="10"/>
      <c r="D426" s="10"/>
      <c r="E426" s="10"/>
      <c r="F426" s="10"/>
    </row>
    <row r="427">
      <c r="B427" s="17"/>
      <c r="C427" s="10"/>
      <c r="D427" s="10"/>
      <c r="E427" s="10"/>
      <c r="F427" s="10"/>
    </row>
    <row r="428">
      <c r="B428" s="17"/>
      <c r="C428" s="10"/>
      <c r="D428" s="10"/>
      <c r="E428" s="10"/>
      <c r="F428" s="10"/>
    </row>
    <row r="429">
      <c r="B429" s="17"/>
      <c r="C429" s="10"/>
      <c r="D429" s="10"/>
      <c r="E429" s="10"/>
      <c r="F429" s="10"/>
    </row>
    <row r="430">
      <c r="B430" s="17"/>
      <c r="C430" s="10"/>
      <c r="D430" s="10"/>
      <c r="E430" s="10"/>
      <c r="F430" s="10"/>
    </row>
    <row r="431">
      <c r="B431" s="17"/>
      <c r="C431" s="10"/>
      <c r="D431" s="10"/>
      <c r="E431" s="10"/>
      <c r="F431" s="10"/>
    </row>
    <row r="432">
      <c r="B432" s="17"/>
      <c r="C432" s="10"/>
      <c r="D432" s="10"/>
      <c r="E432" s="10"/>
      <c r="F432" s="10"/>
    </row>
    <row r="433">
      <c r="B433" s="17"/>
      <c r="C433" s="10"/>
      <c r="D433" s="10"/>
      <c r="E433" s="10"/>
      <c r="F433" s="10"/>
    </row>
    <row r="434">
      <c r="B434" s="17"/>
      <c r="C434" s="10"/>
      <c r="D434" s="10"/>
      <c r="E434" s="10"/>
      <c r="F434" s="10"/>
    </row>
    <row r="435">
      <c r="B435" s="17"/>
      <c r="C435" s="10"/>
      <c r="D435" s="10"/>
      <c r="E435" s="10"/>
      <c r="F435" s="10"/>
    </row>
    <row r="436">
      <c r="B436" s="17"/>
      <c r="C436" s="10"/>
      <c r="D436" s="10"/>
      <c r="E436" s="10"/>
      <c r="F436" s="10"/>
    </row>
    <row r="437">
      <c r="B437" s="17"/>
      <c r="C437" s="10"/>
      <c r="D437" s="10"/>
      <c r="E437" s="10"/>
      <c r="F437" s="10"/>
    </row>
    <row r="438">
      <c r="B438" s="17"/>
      <c r="C438" s="10"/>
      <c r="D438" s="10"/>
      <c r="E438" s="10"/>
      <c r="F438" s="10"/>
    </row>
    <row r="439">
      <c r="B439" s="17"/>
      <c r="C439" s="10"/>
      <c r="D439" s="10"/>
      <c r="E439" s="10"/>
      <c r="F439" s="10"/>
    </row>
    <row r="440">
      <c r="B440" s="17"/>
      <c r="C440" s="10"/>
      <c r="D440" s="10"/>
      <c r="E440" s="10"/>
      <c r="F440" s="10"/>
    </row>
    <row r="441">
      <c r="B441" s="17"/>
      <c r="C441" s="10"/>
      <c r="D441" s="10"/>
      <c r="E441" s="10"/>
      <c r="F441" s="10"/>
    </row>
    <row r="442">
      <c r="B442" s="17"/>
      <c r="C442" s="10"/>
      <c r="D442" s="10"/>
      <c r="E442" s="10"/>
      <c r="F442" s="10"/>
    </row>
    <row r="443">
      <c r="B443" s="17"/>
      <c r="C443" s="10"/>
      <c r="D443" s="10"/>
      <c r="E443" s="10"/>
      <c r="F443" s="10"/>
    </row>
    <row r="444">
      <c r="B444" s="17"/>
      <c r="C444" s="10"/>
      <c r="D444" s="10"/>
      <c r="E444" s="10"/>
      <c r="F444" s="10"/>
    </row>
    <row r="445">
      <c r="B445" s="17"/>
      <c r="C445" s="10"/>
      <c r="D445" s="10"/>
      <c r="E445" s="10"/>
      <c r="F445" s="10"/>
    </row>
    <row r="446">
      <c r="B446" s="17"/>
      <c r="C446" s="10"/>
      <c r="D446" s="10"/>
      <c r="E446" s="10"/>
      <c r="F446" s="10"/>
    </row>
    <row r="447">
      <c r="B447" s="17"/>
      <c r="C447" s="10"/>
      <c r="D447" s="10"/>
      <c r="E447" s="10"/>
      <c r="F447" s="10"/>
    </row>
    <row r="448">
      <c r="B448" s="17"/>
      <c r="C448" s="10"/>
      <c r="D448" s="10"/>
      <c r="E448" s="10"/>
      <c r="F448" s="10"/>
    </row>
    <row r="449">
      <c r="B449" s="17"/>
      <c r="C449" s="10"/>
      <c r="D449" s="10"/>
      <c r="E449" s="10"/>
      <c r="F449" s="10"/>
    </row>
    <row r="450">
      <c r="B450" s="17"/>
      <c r="C450" s="10"/>
      <c r="D450" s="10"/>
      <c r="E450" s="10"/>
      <c r="F450" s="10"/>
    </row>
    <row r="451">
      <c r="B451" s="17"/>
      <c r="C451" s="10"/>
      <c r="D451" s="10"/>
      <c r="E451" s="10"/>
      <c r="F451" s="10"/>
    </row>
    <row r="452">
      <c r="B452" s="17"/>
      <c r="C452" s="10"/>
      <c r="D452" s="10"/>
      <c r="E452" s="10"/>
      <c r="F452" s="10"/>
    </row>
    <row r="453">
      <c r="B453" s="17"/>
      <c r="C453" s="10"/>
      <c r="D453" s="10"/>
      <c r="E453" s="10"/>
      <c r="F453" s="10"/>
    </row>
    <row r="454">
      <c r="B454" s="17"/>
      <c r="C454" s="10"/>
      <c r="D454" s="10"/>
      <c r="E454" s="10"/>
      <c r="F454" s="10"/>
    </row>
    <row r="455">
      <c r="B455" s="17"/>
      <c r="C455" s="10"/>
      <c r="D455" s="10"/>
      <c r="E455" s="10"/>
      <c r="F455" s="10"/>
    </row>
    <row r="456">
      <c r="B456" s="17"/>
      <c r="C456" s="10"/>
      <c r="D456" s="10"/>
      <c r="E456" s="10"/>
      <c r="F456" s="10"/>
    </row>
    <row r="457">
      <c r="B457" s="17"/>
      <c r="C457" s="10"/>
      <c r="D457" s="10"/>
      <c r="E457" s="10"/>
      <c r="F457" s="10"/>
    </row>
    <row r="458">
      <c r="B458" s="17"/>
      <c r="C458" s="10"/>
      <c r="D458" s="10"/>
      <c r="E458" s="10"/>
      <c r="F458" s="10"/>
    </row>
    <row r="459">
      <c r="B459" s="17"/>
      <c r="C459" s="10"/>
      <c r="D459" s="10"/>
      <c r="E459" s="10"/>
      <c r="F459" s="10"/>
    </row>
    <row r="460">
      <c r="B460" s="17"/>
      <c r="C460" s="10"/>
      <c r="D460" s="10"/>
      <c r="E460" s="10"/>
      <c r="F460" s="10"/>
    </row>
    <row r="461">
      <c r="B461" s="17"/>
      <c r="C461" s="10"/>
      <c r="D461" s="10"/>
      <c r="E461" s="10"/>
      <c r="F461" s="10"/>
    </row>
    <row r="462">
      <c r="B462" s="17"/>
      <c r="C462" s="10"/>
      <c r="D462" s="10"/>
      <c r="E462" s="10"/>
      <c r="F462" s="10"/>
    </row>
    <row r="463">
      <c r="B463" s="17"/>
      <c r="C463" s="10"/>
      <c r="D463" s="10"/>
      <c r="E463" s="10"/>
      <c r="F463" s="10"/>
    </row>
    <row r="464">
      <c r="B464" s="17"/>
      <c r="C464" s="10"/>
      <c r="D464" s="10"/>
      <c r="E464" s="10"/>
      <c r="F464" s="10"/>
    </row>
    <row r="465">
      <c r="B465" s="17"/>
      <c r="C465" s="10"/>
      <c r="D465" s="10"/>
      <c r="E465" s="10"/>
      <c r="F465" s="10"/>
    </row>
    <row r="466">
      <c r="B466" s="17"/>
      <c r="C466" s="10"/>
      <c r="D466" s="10"/>
      <c r="E466" s="10"/>
      <c r="F466" s="10"/>
    </row>
    <row r="467">
      <c r="B467" s="17"/>
      <c r="C467" s="10"/>
      <c r="D467" s="10"/>
      <c r="E467" s="10"/>
      <c r="F467" s="10"/>
    </row>
    <row r="468">
      <c r="B468" s="17"/>
      <c r="C468" s="10"/>
      <c r="D468" s="10"/>
      <c r="E468" s="10"/>
      <c r="F468" s="10"/>
    </row>
    <row r="469">
      <c r="B469" s="17"/>
      <c r="C469" s="10"/>
      <c r="D469" s="10"/>
      <c r="E469" s="10"/>
      <c r="F469" s="10"/>
    </row>
    <row r="470">
      <c r="B470" s="17"/>
      <c r="C470" s="10"/>
      <c r="D470" s="10"/>
      <c r="E470" s="10"/>
      <c r="F470" s="10"/>
    </row>
    <row r="471">
      <c r="B471" s="17"/>
      <c r="C471" s="10"/>
      <c r="D471" s="10"/>
      <c r="E471" s="10"/>
      <c r="F471" s="10"/>
    </row>
    <row r="472">
      <c r="B472" s="17"/>
      <c r="C472" s="10"/>
      <c r="D472" s="10"/>
      <c r="E472" s="10"/>
      <c r="F472" s="10"/>
    </row>
    <row r="473">
      <c r="B473" s="17"/>
      <c r="C473" s="10"/>
      <c r="D473" s="10"/>
      <c r="E473" s="10"/>
      <c r="F473" s="10"/>
    </row>
    <row r="474">
      <c r="B474" s="17"/>
      <c r="C474" s="10"/>
      <c r="D474" s="10"/>
      <c r="E474" s="10"/>
      <c r="F474" s="10"/>
    </row>
    <row r="475">
      <c r="B475" s="17"/>
      <c r="C475" s="10"/>
      <c r="D475" s="10"/>
      <c r="E475" s="10"/>
      <c r="F475" s="10"/>
    </row>
    <row r="476">
      <c r="B476" s="17"/>
      <c r="C476" s="10"/>
      <c r="D476" s="10"/>
      <c r="E476" s="10"/>
      <c r="F476" s="10"/>
    </row>
    <row r="477">
      <c r="B477" s="17"/>
      <c r="C477" s="10"/>
      <c r="D477" s="10"/>
      <c r="E477" s="10"/>
      <c r="F477" s="10"/>
    </row>
    <row r="478">
      <c r="B478" s="17"/>
      <c r="C478" s="10"/>
      <c r="D478" s="10"/>
      <c r="E478" s="10"/>
      <c r="F478" s="10"/>
    </row>
    <row r="479">
      <c r="B479" s="17"/>
      <c r="C479" s="10"/>
      <c r="D479" s="10"/>
      <c r="E479" s="10"/>
      <c r="F479" s="10"/>
    </row>
    <row r="480">
      <c r="B480" s="17"/>
      <c r="C480" s="10"/>
      <c r="D480" s="10"/>
      <c r="E480" s="10"/>
      <c r="F480" s="10"/>
    </row>
    <row r="481">
      <c r="B481" s="17"/>
      <c r="C481" s="10"/>
      <c r="D481" s="10"/>
      <c r="E481" s="10"/>
      <c r="F481" s="10"/>
    </row>
    <row r="482">
      <c r="B482" s="17"/>
      <c r="C482" s="10"/>
      <c r="D482" s="10"/>
      <c r="E482" s="10"/>
      <c r="F482" s="10"/>
    </row>
    <row r="483">
      <c r="B483" s="17"/>
      <c r="C483" s="10"/>
      <c r="D483" s="10"/>
      <c r="E483" s="10"/>
      <c r="F483" s="10"/>
    </row>
    <row r="484">
      <c r="B484" s="17"/>
      <c r="C484" s="10"/>
      <c r="D484" s="10"/>
      <c r="E484" s="10"/>
      <c r="F484" s="10"/>
    </row>
    <row r="485">
      <c r="B485" s="17"/>
      <c r="C485" s="10"/>
      <c r="D485" s="10"/>
      <c r="E485" s="10"/>
      <c r="F485" s="10"/>
    </row>
    <row r="486">
      <c r="B486" s="17"/>
      <c r="C486" s="10"/>
      <c r="D486" s="10"/>
      <c r="E486" s="10"/>
      <c r="F486" s="10"/>
    </row>
    <row r="487">
      <c r="B487" s="17"/>
      <c r="C487" s="10"/>
      <c r="D487" s="10"/>
      <c r="E487" s="10"/>
      <c r="F487" s="10"/>
    </row>
    <row r="488">
      <c r="B488" s="17"/>
      <c r="C488" s="10"/>
      <c r="D488" s="10"/>
      <c r="E488" s="10"/>
      <c r="F488" s="10"/>
    </row>
    <row r="489">
      <c r="B489" s="17"/>
      <c r="C489" s="10"/>
      <c r="D489" s="10"/>
      <c r="E489" s="10"/>
      <c r="F489" s="10"/>
    </row>
    <row r="490">
      <c r="B490" s="17"/>
      <c r="C490" s="10"/>
      <c r="D490" s="10"/>
      <c r="E490" s="10"/>
      <c r="F490" s="10"/>
    </row>
    <row r="491">
      <c r="B491" s="17"/>
      <c r="C491" s="10"/>
      <c r="D491" s="10"/>
      <c r="E491" s="10"/>
      <c r="F491" s="10"/>
    </row>
    <row r="492">
      <c r="B492" s="17"/>
      <c r="C492" s="10"/>
      <c r="D492" s="10"/>
      <c r="E492" s="10"/>
      <c r="F492" s="10"/>
    </row>
    <row r="493">
      <c r="B493" s="17"/>
      <c r="C493" s="10"/>
      <c r="D493" s="10"/>
      <c r="E493" s="10"/>
      <c r="F493" s="10"/>
    </row>
    <row r="494">
      <c r="B494" s="17"/>
      <c r="C494" s="10"/>
      <c r="D494" s="10"/>
      <c r="E494" s="10"/>
      <c r="F494" s="10"/>
    </row>
    <row r="495">
      <c r="B495" s="17"/>
      <c r="C495" s="10"/>
      <c r="D495" s="10"/>
      <c r="E495" s="10"/>
      <c r="F495" s="10"/>
    </row>
    <row r="496">
      <c r="B496" s="17"/>
      <c r="C496" s="10"/>
      <c r="D496" s="10"/>
      <c r="E496" s="10"/>
      <c r="F496" s="10"/>
    </row>
    <row r="497">
      <c r="B497" s="17"/>
      <c r="C497" s="10"/>
      <c r="D497" s="10"/>
      <c r="E497" s="10"/>
      <c r="F497" s="10"/>
    </row>
    <row r="498">
      <c r="B498" s="17"/>
      <c r="C498" s="10"/>
      <c r="D498" s="10"/>
      <c r="E498" s="10"/>
      <c r="F498" s="10"/>
    </row>
    <row r="499">
      <c r="B499" s="17"/>
      <c r="C499" s="10"/>
      <c r="D499" s="10"/>
      <c r="E499" s="10"/>
      <c r="F499" s="10"/>
    </row>
    <row r="500">
      <c r="B500" s="17"/>
      <c r="C500" s="10"/>
      <c r="D500" s="10"/>
      <c r="E500" s="10"/>
      <c r="F500" s="10"/>
    </row>
    <row r="501">
      <c r="B501" s="17"/>
      <c r="C501" s="10"/>
      <c r="D501" s="10"/>
      <c r="E501" s="10"/>
      <c r="F501" s="10"/>
    </row>
    <row r="502">
      <c r="B502" s="17"/>
      <c r="C502" s="10"/>
      <c r="D502" s="10"/>
      <c r="E502" s="10"/>
      <c r="F502" s="10"/>
    </row>
    <row r="503">
      <c r="B503" s="17"/>
      <c r="C503" s="10"/>
      <c r="D503" s="10"/>
      <c r="E503" s="10"/>
      <c r="F503" s="10"/>
    </row>
    <row r="504">
      <c r="B504" s="17"/>
      <c r="C504" s="10"/>
      <c r="D504" s="10"/>
      <c r="E504" s="10"/>
      <c r="F504" s="10"/>
    </row>
    <row r="505">
      <c r="B505" s="17"/>
      <c r="C505" s="10"/>
      <c r="D505" s="10"/>
      <c r="E505" s="10"/>
      <c r="F505" s="10"/>
    </row>
    <row r="506">
      <c r="B506" s="17"/>
      <c r="C506" s="10"/>
      <c r="D506" s="10"/>
      <c r="E506" s="10"/>
      <c r="F506" s="10"/>
    </row>
    <row r="507">
      <c r="B507" s="17"/>
      <c r="C507" s="10"/>
      <c r="D507" s="10"/>
      <c r="E507" s="10"/>
      <c r="F507" s="10"/>
    </row>
    <row r="508">
      <c r="B508" s="17"/>
      <c r="C508" s="10"/>
      <c r="D508" s="10"/>
      <c r="E508" s="10"/>
      <c r="F508" s="10"/>
    </row>
    <row r="509">
      <c r="B509" s="17"/>
      <c r="C509" s="10"/>
      <c r="D509" s="10"/>
      <c r="E509" s="10"/>
      <c r="F509" s="10"/>
    </row>
    <row r="510">
      <c r="B510" s="17"/>
      <c r="C510" s="10"/>
      <c r="D510" s="10"/>
      <c r="E510" s="10"/>
      <c r="F510" s="10"/>
    </row>
    <row r="511">
      <c r="B511" s="17"/>
      <c r="C511" s="10"/>
      <c r="D511" s="10"/>
      <c r="E511" s="10"/>
      <c r="F511" s="10"/>
    </row>
    <row r="512">
      <c r="B512" s="17"/>
      <c r="C512" s="10"/>
      <c r="D512" s="10"/>
      <c r="E512" s="10"/>
      <c r="F512" s="10"/>
    </row>
    <row r="513">
      <c r="B513" s="17"/>
      <c r="C513" s="10"/>
      <c r="D513" s="10"/>
      <c r="E513" s="10"/>
      <c r="F513" s="10"/>
    </row>
    <row r="514">
      <c r="B514" s="17"/>
      <c r="C514" s="10"/>
      <c r="D514" s="10"/>
      <c r="E514" s="10"/>
      <c r="F514" s="10"/>
    </row>
    <row r="515">
      <c r="B515" s="17"/>
      <c r="C515" s="10"/>
      <c r="D515" s="10"/>
      <c r="E515" s="10"/>
      <c r="F515" s="10"/>
    </row>
    <row r="516">
      <c r="B516" s="17"/>
      <c r="C516" s="10"/>
      <c r="D516" s="10"/>
      <c r="E516" s="10"/>
      <c r="F516" s="10"/>
    </row>
    <row r="517">
      <c r="B517" s="17"/>
      <c r="C517" s="10"/>
      <c r="D517" s="10"/>
      <c r="E517" s="10"/>
      <c r="F517" s="10"/>
    </row>
    <row r="518">
      <c r="B518" s="17"/>
      <c r="C518" s="10"/>
      <c r="D518" s="10"/>
      <c r="E518" s="10"/>
      <c r="F518" s="10"/>
    </row>
    <row r="519">
      <c r="B519" s="17"/>
      <c r="C519" s="10"/>
      <c r="D519" s="10"/>
      <c r="E519" s="10"/>
      <c r="F519" s="10"/>
    </row>
    <row r="520">
      <c r="B520" s="17"/>
      <c r="C520" s="10"/>
      <c r="D520" s="10"/>
      <c r="E520" s="10"/>
      <c r="F520" s="10"/>
    </row>
    <row r="521">
      <c r="B521" s="17"/>
      <c r="C521" s="10"/>
      <c r="D521" s="10"/>
      <c r="E521" s="10"/>
      <c r="F521" s="10"/>
    </row>
    <row r="522">
      <c r="B522" s="17"/>
      <c r="C522" s="10"/>
      <c r="D522" s="10"/>
      <c r="E522" s="10"/>
      <c r="F522" s="10"/>
    </row>
    <row r="523">
      <c r="B523" s="17"/>
      <c r="C523" s="10"/>
      <c r="D523" s="10"/>
      <c r="E523" s="10"/>
      <c r="F523" s="10"/>
    </row>
    <row r="524">
      <c r="B524" s="17"/>
      <c r="C524" s="10"/>
      <c r="D524" s="10"/>
      <c r="E524" s="10"/>
      <c r="F524" s="10"/>
    </row>
    <row r="525">
      <c r="B525" s="17"/>
      <c r="C525" s="10"/>
      <c r="D525" s="10"/>
      <c r="E525" s="10"/>
      <c r="F525" s="10"/>
    </row>
    <row r="526">
      <c r="B526" s="17"/>
      <c r="C526" s="10"/>
      <c r="D526" s="10"/>
      <c r="E526" s="10"/>
      <c r="F526" s="10"/>
    </row>
    <row r="527">
      <c r="B527" s="17"/>
      <c r="C527" s="10"/>
      <c r="D527" s="10"/>
      <c r="E527" s="10"/>
      <c r="F527" s="10"/>
    </row>
    <row r="528">
      <c r="B528" s="17"/>
      <c r="C528" s="10"/>
      <c r="D528" s="10"/>
      <c r="E528" s="10"/>
      <c r="F528" s="10"/>
    </row>
    <row r="529">
      <c r="B529" s="17"/>
      <c r="C529" s="10"/>
      <c r="D529" s="10"/>
      <c r="E529" s="10"/>
      <c r="F529" s="10"/>
    </row>
    <row r="530">
      <c r="B530" s="17"/>
      <c r="C530" s="10"/>
      <c r="D530" s="10"/>
      <c r="E530" s="10"/>
      <c r="F530" s="10"/>
    </row>
    <row r="531">
      <c r="B531" s="17"/>
      <c r="C531" s="10"/>
      <c r="D531" s="10"/>
      <c r="E531" s="10"/>
      <c r="F531" s="10"/>
    </row>
    <row r="532">
      <c r="B532" s="17"/>
      <c r="C532" s="10"/>
      <c r="D532" s="10"/>
      <c r="E532" s="10"/>
      <c r="F532" s="10"/>
    </row>
    <row r="533">
      <c r="B533" s="17"/>
      <c r="C533" s="10"/>
      <c r="D533" s="10"/>
      <c r="E533" s="10"/>
      <c r="F533" s="10"/>
    </row>
    <row r="534">
      <c r="B534" s="17"/>
      <c r="C534" s="10"/>
      <c r="D534" s="10"/>
      <c r="E534" s="10"/>
      <c r="F534" s="10"/>
    </row>
    <row r="535">
      <c r="B535" s="17"/>
      <c r="C535" s="10"/>
      <c r="D535" s="10"/>
      <c r="E535" s="10"/>
      <c r="F535" s="10"/>
    </row>
    <row r="536">
      <c r="B536" s="17"/>
      <c r="C536" s="10"/>
      <c r="D536" s="10"/>
      <c r="E536" s="10"/>
      <c r="F536" s="10"/>
    </row>
    <row r="537">
      <c r="B537" s="17"/>
      <c r="C537" s="10"/>
      <c r="D537" s="10"/>
      <c r="E537" s="10"/>
      <c r="F537" s="10"/>
    </row>
    <row r="538">
      <c r="B538" s="17"/>
      <c r="C538" s="10"/>
      <c r="D538" s="10"/>
      <c r="E538" s="10"/>
      <c r="F538" s="10"/>
    </row>
    <row r="539">
      <c r="B539" s="17"/>
      <c r="C539" s="10"/>
      <c r="D539" s="10"/>
      <c r="E539" s="10"/>
      <c r="F539" s="10"/>
    </row>
    <row r="540">
      <c r="B540" s="17"/>
      <c r="C540" s="10"/>
      <c r="D540" s="10"/>
      <c r="E540" s="10"/>
      <c r="F540" s="10"/>
    </row>
    <row r="541">
      <c r="B541" s="17"/>
      <c r="C541" s="10"/>
      <c r="D541" s="10"/>
      <c r="E541" s="10"/>
      <c r="F541" s="10"/>
    </row>
    <row r="542">
      <c r="B542" s="17"/>
      <c r="C542" s="10"/>
      <c r="D542" s="10"/>
      <c r="E542" s="10"/>
      <c r="F542" s="10"/>
    </row>
    <row r="543">
      <c r="B543" s="17"/>
      <c r="C543" s="10"/>
      <c r="D543" s="10"/>
      <c r="E543" s="10"/>
      <c r="F543" s="10"/>
    </row>
    <row r="544">
      <c r="B544" s="17"/>
      <c r="C544" s="10"/>
      <c r="D544" s="10"/>
      <c r="E544" s="10"/>
      <c r="F544" s="10"/>
    </row>
    <row r="545">
      <c r="B545" s="17"/>
      <c r="C545" s="10"/>
      <c r="D545" s="10"/>
      <c r="E545" s="10"/>
      <c r="F545" s="10"/>
    </row>
    <row r="546">
      <c r="B546" s="17"/>
      <c r="C546" s="10"/>
      <c r="D546" s="10"/>
      <c r="E546" s="10"/>
      <c r="F546" s="10"/>
    </row>
    <row r="547">
      <c r="B547" s="17"/>
      <c r="C547" s="10"/>
      <c r="D547" s="10"/>
      <c r="E547" s="10"/>
      <c r="F547" s="10"/>
    </row>
    <row r="548">
      <c r="B548" s="17"/>
      <c r="C548" s="10"/>
      <c r="D548" s="10"/>
      <c r="E548" s="10"/>
      <c r="F548" s="10"/>
    </row>
    <row r="549">
      <c r="B549" s="17"/>
      <c r="C549" s="10"/>
      <c r="D549" s="10"/>
      <c r="E549" s="10"/>
      <c r="F549" s="10"/>
    </row>
    <row r="550">
      <c r="B550" s="17"/>
      <c r="C550" s="10"/>
      <c r="D550" s="10"/>
      <c r="E550" s="10"/>
      <c r="F550" s="10"/>
    </row>
    <row r="551">
      <c r="B551" s="17"/>
      <c r="C551" s="10"/>
      <c r="D551" s="10"/>
      <c r="E551" s="10"/>
      <c r="F551" s="10"/>
    </row>
    <row r="552">
      <c r="B552" s="17"/>
      <c r="C552" s="10"/>
      <c r="D552" s="10"/>
      <c r="E552" s="10"/>
      <c r="F552" s="10"/>
    </row>
    <row r="553">
      <c r="B553" s="17"/>
      <c r="C553" s="10"/>
      <c r="D553" s="10"/>
      <c r="E553" s="10"/>
      <c r="F553" s="10"/>
    </row>
    <row r="554">
      <c r="B554" s="17"/>
      <c r="C554" s="10"/>
      <c r="D554" s="10"/>
      <c r="E554" s="10"/>
      <c r="F554" s="10"/>
    </row>
    <row r="555">
      <c r="B555" s="17"/>
      <c r="C555" s="10"/>
      <c r="D555" s="10"/>
      <c r="E555" s="10"/>
      <c r="F555" s="10"/>
    </row>
    <row r="556">
      <c r="B556" s="17"/>
      <c r="C556" s="10"/>
      <c r="D556" s="10"/>
      <c r="E556" s="10"/>
      <c r="F556" s="10"/>
    </row>
    <row r="557">
      <c r="B557" s="17"/>
      <c r="C557" s="10"/>
      <c r="D557" s="10"/>
      <c r="E557" s="10"/>
      <c r="F557" s="10"/>
    </row>
    <row r="558">
      <c r="B558" s="17"/>
      <c r="C558" s="10"/>
      <c r="D558" s="10"/>
      <c r="E558" s="10"/>
      <c r="F558" s="10"/>
    </row>
    <row r="559">
      <c r="B559" s="17"/>
      <c r="C559" s="10"/>
      <c r="D559" s="10"/>
      <c r="E559" s="10"/>
      <c r="F559" s="10"/>
    </row>
    <row r="560">
      <c r="B560" s="17"/>
      <c r="C560" s="10"/>
      <c r="D560" s="10"/>
      <c r="E560" s="10"/>
      <c r="F560" s="10"/>
    </row>
    <row r="561">
      <c r="B561" s="17"/>
      <c r="C561" s="10"/>
      <c r="D561" s="10"/>
      <c r="E561" s="10"/>
      <c r="F561" s="10"/>
    </row>
    <row r="562">
      <c r="B562" s="17"/>
      <c r="C562" s="10"/>
      <c r="D562" s="10"/>
      <c r="E562" s="10"/>
      <c r="F562" s="10"/>
    </row>
    <row r="563">
      <c r="B563" s="17"/>
      <c r="C563" s="10"/>
      <c r="D563" s="10"/>
      <c r="E563" s="10"/>
      <c r="F563" s="10"/>
    </row>
    <row r="564">
      <c r="B564" s="17"/>
      <c r="C564" s="10"/>
      <c r="D564" s="10"/>
      <c r="E564" s="10"/>
      <c r="F564" s="10"/>
    </row>
    <row r="565">
      <c r="B565" s="17"/>
      <c r="C565" s="10"/>
      <c r="D565" s="10"/>
      <c r="E565" s="10"/>
      <c r="F565" s="10"/>
    </row>
    <row r="566">
      <c r="B566" s="17"/>
      <c r="C566" s="10"/>
      <c r="D566" s="10"/>
      <c r="E566" s="10"/>
      <c r="F566" s="10"/>
    </row>
    <row r="567">
      <c r="B567" s="17"/>
      <c r="C567" s="10"/>
      <c r="D567" s="10"/>
      <c r="E567" s="10"/>
      <c r="F567" s="10"/>
    </row>
    <row r="568">
      <c r="B568" s="17"/>
      <c r="C568" s="10"/>
      <c r="D568" s="10"/>
      <c r="E568" s="10"/>
      <c r="F568" s="10"/>
    </row>
    <row r="569">
      <c r="B569" s="17"/>
      <c r="C569" s="10"/>
      <c r="D569" s="10"/>
      <c r="E569" s="10"/>
      <c r="F569" s="10"/>
    </row>
    <row r="570">
      <c r="B570" s="17"/>
      <c r="C570" s="10"/>
      <c r="D570" s="10"/>
      <c r="E570" s="10"/>
      <c r="F570" s="10"/>
    </row>
    <row r="571">
      <c r="B571" s="17"/>
      <c r="C571" s="10"/>
      <c r="D571" s="10"/>
      <c r="E571" s="10"/>
      <c r="F571" s="10"/>
    </row>
    <row r="572">
      <c r="B572" s="17"/>
      <c r="C572" s="10"/>
      <c r="D572" s="10"/>
      <c r="E572" s="10"/>
      <c r="F572" s="10"/>
    </row>
    <row r="573">
      <c r="B573" s="17"/>
      <c r="C573" s="10"/>
      <c r="D573" s="10"/>
      <c r="E573" s="10"/>
      <c r="F573" s="10"/>
    </row>
    <row r="574">
      <c r="B574" s="17"/>
      <c r="C574" s="10"/>
      <c r="D574" s="10"/>
      <c r="E574" s="10"/>
      <c r="F574" s="10"/>
    </row>
    <row r="575">
      <c r="B575" s="17"/>
      <c r="C575" s="10"/>
      <c r="D575" s="10"/>
      <c r="E575" s="10"/>
      <c r="F575" s="10"/>
    </row>
    <row r="576">
      <c r="B576" s="17"/>
      <c r="C576" s="10"/>
      <c r="D576" s="10"/>
      <c r="E576" s="10"/>
      <c r="F576" s="10"/>
    </row>
    <row r="577">
      <c r="B577" s="17"/>
      <c r="C577" s="10"/>
      <c r="D577" s="10"/>
      <c r="E577" s="10"/>
      <c r="F577" s="10"/>
    </row>
    <row r="578">
      <c r="B578" s="17"/>
      <c r="C578" s="10"/>
      <c r="D578" s="10"/>
      <c r="E578" s="10"/>
      <c r="F578" s="10"/>
    </row>
    <row r="579">
      <c r="B579" s="17"/>
      <c r="C579" s="10"/>
      <c r="D579" s="10"/>
      <c r="E579" s="10"/>
      <c r="F579" s="10"/>
    </row>
    <row r="580">
      <c r="B580" s="17"/>
      <c r="C580" s="10"/>
      <c r="D580" s="10"/>
      <c r="E580" s="10"/>
      <c r="F580" s="10"/>
    </row>
    <row r="581">
      <c r="B581" s="17"/>
      <c r="C581" s="10"/>
      <c r="D581" s="10"/>
      <c r="E581" s="10"/>
      <c r="F581" s="10"/>
    </row>
    <row r="582">
      <c r="B582" s="17"/>
      <c r="C582" s="10"/>
      <c r="D582" s="10"/>
      <c r="E582" s="10"/>
      <c r="F582" s="10"/>
    </row>
    <row r="583">
      <c r="B583" s="17"/>
      <c r="C583" s="10"/>
      <c r="D583" s="10"/>
      <c r="E583" s="10"/>
      <c r="F583" s="10"/>
    </row>
    <row r="584">
      <c r="B584" s="17"/>
      <c r="C584" s="10"/>
      <c r="D584" s="10"/>
      <c r="E584" s="10"/>
      <c r="F584" s="10"/>
    </row>
    <row r="585">
      <c r="B585" s="17"/>
      <c r="C585" s="10"/>
      <c r="D585" s="10"/>
      <c r="E585" s="10"/>
      <c r="F585" s="10"/>
    </row>
    <row r="586">
      <c r="B586" s="17"/>
      <c r="C586" s="10"/>
      <c r="D586" s="10"/>
      <c r="E586" s="10"/>
      <c r="F586" s="10"/>
    </row>
    <row r="587">
      <c r="B587" s="17"/>
      <c r="C587" s="10"/>
      <c r="D587" s="10"/>
      <c r="E587" s="10"/>
      <c r="F587" s="10"/>
    </row>
    <row r="588">
      <c r="B588" s="17"/>
      <c r="C588" s="10"/>
      <c r="D588" s="10"/>
      <c r="E588" s="10"/>
      <c r="F588" s="10"/>
    </row>
    <row r="589">
      <c r="B589" s="17"/>
      <c r="C589" s="10"/>
      <c r="D589" s="10"/>
      <c r="E589" s="10"/>
      <c r="F589" s="10"/>
    </row>
    <row r="590">
      <c r="B590" s="17"/>
      <c r="C590" s="10"/>
      <c r="D590" s="10"/>
      <c r="E590" s="10"/>
      <c r="F590" s="10"/>
    </row>
    <row r="591">
      <c r="B591" s="17"/>
      <c r="C591" s="10"/>
      <c r="D591" s="10"/>
      <c r="E591" s="10"/>
      <c r="F591" s="10"/>
    </row>
    <row r="592">
      <c r="B592" s="17"/>
      <c r="C592" s="10"/>
      <c r="D592" s="10"/>
      <c r="E592" s="10"/>
      <c r="F592" s="10"/>
    </row>
    <row r="593">
      <c r="B593" s="17"/>
      <c r="C593" s="10"/>
      <c r="D593" s="10"/>
      <c r="E593" s="10"/>
      <c r="F593" s="10"/>
    </row>
    <row r="594">
      <c r="B594" s="17"/>
      <c r="C594" s="10"/>
      <c r="D594" s="10"/>
      <c r="E594" s="10"/>
      <c r="F594" s="10"/>
    </row>
    <row r="595">
      <c r="B595" s="17"/>
      <c r="C595" s="10"/>
      <c r="D595" s="10"/>
      <c r="E595" s="10"/>
      <c r="F595" s="10"/>
    </row>
    <row r="596">
      <c r="B596" s="17"/>
      <c r="C596" s="10"/>
      <c r="D596" s="10"/>
      <c r="E596" s="10"/>
      <c r="F596" s="10"/>
    </row>
    <row r="597">
      <c r="B597" s="17"/>
      <c r="C597" s="10"/>
      <c r="D597" s="10"/>
      <c r="E597" s="10"/>
      <c r="F597" s="10"/>
    </row>
    <row r="598">
      <c r="B598" s="17"/>
      <c r="C598" s="10"/>
      <c r="D598" s="10"/>
      <c r="E598" s="10"/>
      <c r="F598" s="10"/>
    </row>
    <row r="599">
      <c r="B599" s="17"/>
      <c r="C599" s="10"/>
      <c r="D599" s="10"/>
      <c r="E599" s="10"/>
      <c r="F599" s="10"/>
    </row>
    <row r="600">
      <c r="B600" s="17"/>
      <c r="C600" s="10"/>
      <c r="D600" s="10"/>
      <c r="E600" s="10"/>
      <c r="F600" s="10"/>
    </row>
    <row r="601">
      <c r="B601" s="17"/>
      <c r="C601" s="10"/>
      <c r="D601" s="10"/>
      <c r="E601" s="10"/>
      <c r="F601" s="10"/>
    </row>
    <row r="602">
      <c r="B602" s="17"/>
      <c r="C602" s="10"/>
      <c r="D602" s="10"/>
      <c r="E602" s="10"/>
      <c r="F602" s="10"/>
    </row>
    <row r="603">
      <c r="B603" s="17"/>
      <c r="C603" s="10"/>
      <c r="D603" s="10"/>
      <c r="E603" s="10"/>
      <c r="F603" s="10"/>
    </row>
    <row r="604">
      <c r="B604" s="17"/>
      <c r="C604" s="10"/>
      <c r="D604" s="10"/>
      <c r="E604" s="10"/>
      <c r="F604" s="10"/>
    </row>
    <row r="605">
      <c r="B605" s="17"/>
      <c r="C605" s="10"/>
      <c r="D605" s="10"/>
      <c r="E605" s="10"/>
      <c r="F605" s="10"/>
    </row>
    <row r="606">
      <c r="B606" s="17"/>
      <c r="C606" s="10"/>
      <c r="D606" s="10"/>
      <c r="E606" s="10"/>
      <c r="F606" s="10"/>
    </row>
    <row r="607">
      <c r="B607" s="17"/>
      <c r="C607" s="10"/>
      <c r="D607" s="10"/>
      <c r="E607" s="10"/>
      <c r="F607" s="10"/>
    </row>
    <row r="608">
      <c r="B608" s="17"/>
      <c r="C608" s="10"/>
      <c r="D608" s="10"/>
      <c r="E608" s="10"/>
      <c r="F608" s="10"/>
    </row>
    <row r="609">
      <c r="B609" s="17"/>
      <c r="C609" s="10"/>
      <c r="D609" s="10"/>
      <c r="E609" s="10"/>
      <c r="F609" s="10"/>
    </row>
    <row r="610">
      <c r="B610" s="17"/>
      <c r="C610" s="10"/>
      <c r="D610" s="10"/>
      <c r="E610" s="10"/>
      <c r="F610" s="10"/>
    </row>
    <row r="611">
      <c r="B611" s="17"/>
      <c r="C611" s="10"/>
      <c r="D611" s="10"/>
      <c r="E611" s="10"/>
      <c r="F611" s="10"/>
    </row>
    <row r="612">
      <c r="B612" s="17"/>
      <c r="C612" s="10"/>
      <c r="D612" s="10"/>
      <c r="E612" s="10"/>
      <c r="F612" s="10"/>
    </row>
    <row r="613">
      <c r="B613" s="17"/>
      <c r="C613" s="10"/>
      <c r="D613" s="10"/>
      <c r="E613" s="10"/>
      <c r="F613" s="10"/>
    </row>
    <row r="614">
      <c r="B614" s="17"/>
      <c r="C614" s="10"/>
      <c r="D614" s="10"/>
      <c r="E614" s="10"/>
      <c r="F614" s="10"/>
    </row>
    <row r="615">
      <c r="B615" s="17"/>
      <c r="C615" s="10"/>
      <c r="D615" s="10"/>
      <c r="E615" s="10"/>
      <c r="F615" s="10"/>
    </row>
    <row r="616">
      <c r="B616" s="17"/>
      <c r="C616" s="10"/>
      <c r="D616" s="10"/>
      <c r="E616" s="10"/>
      <c r="F616" s="10"/>
    </row>
    <row r="617">
      <c r="B617" s="17"/>
      <c r="C617" s="10"/>
      <c r="D617" s="10"/>
      <c r="E617" s="10"/>
      <c r="F617" s="10"/>
    </row>
    <row r="618">
      <c r="B618" s="17"/>
      <c r="C618" s="10"/>
      <c r="D618" s="10"/>
      <c r="E618" s="10"/>
      <c r="F618" s="10"/>
    </row>
    <row r="619">
      <c r="B619" s="17"/>
      <c r="C619" s="10"/>
      <c r="D619" s="10"/>
      <c r="E619" s="10"/>
      <c r="F619" s="10"/>
    </row>
    <row r="620">
      <c r="B620" s="17"/>
      <c r="C620" s="10"/>
      <c r="D620" s="10"/>
      <c r="E620" s="10"/>
      <c r="F620" s="10"/>
    </row>
    <row r="621">
      <c r="B621" s="17"/>
      <c r="C621" s="10"/>
      <c r="D621" s="10"/>
      <c r="E621" s="10"/>
      <c r="F621" s="10"/>
    </row>
    <row r="622">
      <c r="B622" s="17"/>
      <c r="C622" s="10"/>
      <c r="D622" s="10"/>
      <c r="E622" s="10"/>
      <c r="F622" s="10"/>
    </row>
    <row r="623">
      <c r="B623" s="17"/>
      <c r="C623" s="10"/>
      <c r="D623" s="10"/>
      <c r="E623" s="10"/>
      <c r="F623" s="10"/>
    </row>
    <row r="624">
      <c r="B624" s="17"/>
      <c r="C624" s="10"/>
      <c r="D624" s="10"/>
      <c r="E624" s="10"/>
      <c r="F624" s="10"/>
    </row>
    <row r="625">
      <c r="B625" s="17"/>
      <c r="C625" s="10"/>
      <c r="D625" s="10"/>
      <c r="E625" s="10"/>
      <c r="F625" s="10"/>
    </row>
    <row r="626">
      <c r="B626" s="17"/>
      <c r="C626" s="10"/>
      <c r="D626" s="10"/>
      <c r="E626" s="10"/>
      <c r="F626" s="10"/>
    </row>
    <row r="627">
      <c r="B627" s="17"/>
      <c r="C627" s="10"/>
      <c r="D627" s="10"/>
      <c r="E627" s="10"/>
      <c r="F627" s="10"/>
    </row>
    <row r="628">
      <c r="B628" s="17"/>
      <c r="C628" s="10"/>
      <c r="D628" s="10"/>
      <c r="E628" s="10"/>
      <c r="F628" s="10"/>
    </row>
    <row r="629">
      <c r="B629" s="17"/>
      <c r="C629" s="10"/>
      <c r="D629" s="10"/>
      <c r="E629" s="10"/>
      <c r="F629" s="10"/>
    </row>
    <row r="630">
      <c r="B630" s="17"/>
      <c r="C630" s="10"/>
      <c r="D630" s="10"/>
      <c r="E630" s="10"/>
      <c r="F630" s="10"/>
    </row>
    <row r="631">
      <c r="B631" s="17"/>
      <c r="C631" s="10"/>
      <c r="D631" s="10"/>
      <c r="E631" s="10"/>
      <c r="F631" s="10"/>
    </row>
    <row r="632">
      <c r="B632" s="17"/>
      <c r="C632" s="10"/>
      <c r="D632" s="10"/>
      <c r="E632" s="10"/>
      <c r="F632" s="10"/>
    </row>
    <row r="633">
      <c r="B633" s="17"/>
      <c r="C633" s="10"/>
      <c r="D633" s="10"/>
      <c r="E633" s="10"/>
      <c r="F633" s="10"/>
    </row>
    <row r="634">
      <c r="B634" s="17"/>
      <c r="C634" s="10"/>
      <c r="D634" s="10"/>
      <c r="E634" s="10"/>
      <c r="F634" s="10"/>
    </row>
    <row r="635">
      <c r="B635" s="17"/>
      <c r="C635" s="10"/>
      <c r="D635" s="10"/>
      <c r="E635" s="10"/>
      <c r="F635" s="10"/>
    </row>
    <row r="636">
      <c r="B636" s="17"/>
      <c r="C636" s="10"/>
      <c r="D636" s="10"/>
      <c r="E636" s="10"/>
      <c r="F636" s="10"/>
    </row>
    <row r="637">
      <c r="B637" s="17"/>
      <c r="C637" s="10"/>
      <c r="D637" s="10"/>
      <c r="E637" s="10"/>
      <c r="F637" s="10"/>
    </row>
    <row r="638">
      <c r="B638" s="17"/>
      <c r="C638" s="10"/>
      <c r="D638" s="10"/>
      <c r="E638" s="10"/>
      <c r="F638" s="10"/>
    </row>
    <row r="639">
      <c r="B639" s="17"/>
      <c r="C639" s="10"/>
      <c r="D639" s="10"/>
      <c r="E639" s="10"/>
      <c r="F639" s="10"/>
    </row>
    <row r="640">
      <c r="B640" s="17"/>
      <c r="C640" s="10"/>
      <c r="D640" s="10"/>
      <c r="E640" s="10"/>
      <c r="F640" s="10"/>
    </row>
    <row r="641">
      <c r="B641" s="17"/>
      <c r="C641" s="10"/>
      <c r="D641" s="10"/>
      <c r="E641" s="10"/>
      <c r="F641" s="10"/>
    </row>
    <row r="642">
      <c r="B642" s="17"/>
      <c r="C642" s="10"/>
      <c r="D642" s="10"/>
      <c r="E642" s="10"/>
      <c r="F642" s="10"/>
    </row>
    <row r="643">
      <c r="B643" s="17"/>
      <c r="C643" s="10"/>
      <c r="D643" s="10"/>
      <c r="E643" s="10"/>
      <c r="F643" s="10"/>
    </row>
    <row r="644">
      <c r="B644" s="17"/>
      <c r="C644" s="10"/>
      <c r="D644" s="10"/>
      <c r="E644" s="10"/>
      <c r="F644" s="10"/>
    </row>
    <row r="645">
      <c r="B645" s="17"/>
      <c r="C645" s="10"/>
      <c r="D645" s="10"/>
      <c r="E645" s="10"/>
      <c r="F645" s="10"/>
    </row>
    <row r="646">
      <c r="B646" s="17"/>
      <c r="C646" s="10"/>
      <c r="D646" s="10"/>
      <c r="E646" s="10"/>
      <c r="F646" s="10"/>
    </row>
    <row r="647">
      <c r="B647" s="17"/>
      <c r="C647" s="10"/>
      <c r="D647" s="10"/>
      <c r="E647" s="10"/>
      <c r="F647" s="10"/>
    </row>
    <row r="648">
      <c r="B648" s="17"/>
      <c r="C648" s="10"/>
      <c r="D648" s="10"/>
      <c r="E648" s="10"/>
      <c r="F648" s="10"/>
    </row>
    <row r="649">
      <c r="B649" s="17"/>
      <c r="C649" s="10"/>
      <c r="D649" s="10"/>
      <c r="E649" s="10"/>
      <c r="F649" s="10"/>
    </row>
    <row r="650">
      <c r="B650" s="17"/>
      <c r="C650" s="10"/>
      <c r="D650" s="10"/>
      <c r="E650" s="10"/>
      <c r="F650" s="10"/>
    </row>
    <row r="651">
      <c r="B651" s="17"/>
      <c r="C651" s="10"/>
      <c r="D651" s="10"/>
      <c r="E651" s="10"/>
      <c r="F651" s="10"/>
    </row>
    <row r="652">
      <c r="B652" s="17"/>
      <c r="C652" s="10"/>
      <c r="D652" s="10"/>
      <c r="E652" s="10"/>
      <c r="F652" s="10"/>
    </row>
    <row r="653">
      <c r="B653" s="17"/>
      <c r="C653" s="10"/>
      <c r="D653" s="10"/>
      <c r="E653" s="10"/>
      <c r="F653" s="10"/>
    </row>
    <row r="654">
      <c r="B654" s="17"/>
      <c r="C654" s="10"/>
      <c r="D654" s="10"/>
      <c r="E654" s="10"/>
      <c r="F654" s="10"/>
    </row>
    <row r="655">
      <c r="B655" s="17"/>
      <c r="C655" s="10"/>
      <c r="D655" s="10"/>
      <c r="E655" s="10"/>
      <c r="F655" s="10"/>
    </row>
    <row r="656">
      <c r="B656" s="17"/>
      <c r="C656" s="10"/>
      <c r="D656" s="10"/>
      <c r="E656" s="10"/>
      <c r="F656" s="10"/>
    </row>
    <row r="657">
      <c r="B657" s="17"/>
      <c r="C657" s="10"/>
      <c r="D657" s="10"/>
      <c r="E657" s="10"/>
      <c r="F657" s="10"/>
    </row>
    <row r="658">
      <c r="B658" s="17"/>
      <c r="C658" s="10"/>
      <c r="D658" s="10"/>
      <c r="E658" s="10"/>
      <c r="F658" s="10"/>
    </row>
    <row r="659">
      <c r="B659" s="17"/>
      <c r="C659" s="10"/>
      <c r="D659" s="10"/>
      <c r="E659" s="10"/>
      <c r="F659" s="10"/>
    </row>
    <row r="660">
      <c r="B660" s="17"/>
      <c r="C660" s="10"/>
      <c r="D660" s="10"/>
      <c r="E660" s="10"/>
      <c r="F660" s="10"/>
    </row>
    <row r="661">
      <c r="B661" s="17"/>
      <c r="C661" s="10"/>
      <c r="D661" s="10"/>
      <c r="E661" s="10"/>
      <c r="F661" s="10"/>
    </row>
    <row r="662">
      <c r="B662" s="17"/>
      <c r="C662" s="10"/>
      <c r="D662" s="10"/>
      <c r="E662" s="10"/>
      <c r="F662" s="10"/>
    </row>
    <row r="663">
      <c r="B663" s="17"/>
      <c r="C663" s="10"/>
      <c r="D663" s="10"/>
      <c r="E663" s="10"/>
      <c r="F663" s="10"/>
    </row>
    <row r="664">
      <c r="B664" s="17"/>
      <c r="C664" s="10"/>
      <c r="D664" s="10"/>
      <c r="E664" s="10"/>
      <c r="F664" s="10"/>
    </row>
    <row r="665">
      <c r="B665" s="17"/>
      <c r="C665" s="10"/>
      <c r="D665" s="10"/>
      <c r="E665" s="10"/>
      <c r="F665" s="10"/>
    </row>
    <row r="666">
      <c r="B666" s="17"/>
      <c r="C666" s="10"/>
      <c r="D666" s="10"/>
      <c r="E666" s="10"/>
      <c r="F666" s="10"/>
    </row>
    <row r="667">
      <c r="B667" s="17"/>
      <c r="C667" s="10"/>
      <c r="D667" s="10"/>
      <c r="E667" s="10"/>
      <c r="F667" s="10"/>
    </row>
    <row r="668">
      <c r="B668" s="17"/>
      <c r="C668" s="10"/>
      <c r="D668" s="10"/>
      <c r="E668" s="10"/>
      <c r="F668" s="10"/>
    </row>
    <row r="669">
      <c r="B669" s="17"/>
      <c r="C669" s="10"/>
      <c r="D669" s="10"/>
      <c r="E669" s="10"/>
      <c r="F669" s="10"/>
    </row>
    <row r="670">
      <c r="B670" s="17"/>
      <c r="C670" s="10"/>
      <c r="D670" s="10"/>
      <c r="E670" s="10"/>
      <c r="F670" s="10"/>
    </row>
    <row r="671">
      <c r="B671" s="17"/>
      <c r="C671" s="10"/>
      <c r="D671" s="10"/>
      <c r="E671" s="10"/>
      <c r="F671" s="10"/>
    </row>
    <row r="672">
      <c r="B672" s="17"/>
      <c r="C672" s="10"/>
      <c r="D672" s="10"/>
      <c r="E672" s="10"/>
      <c r="F672" s="10"/>
    </row>
    <row r="673">
      <c r="B673" s="17"/>
      <c r="C673" s="10"/>
      <c r="D673" s="10"/>
      <c r="E673" s="10"/>
      <c r="F673" s="10"/>
    </row>
    <row r="674">
      <c r="B674" s="17"/>
      <c r="C674" s="10"/>
      <c r="D674" s="10"/>
      <c r="E674" s="10"/>
      <c r="F674" s="10"/>
    </row>
    <row r="675">
      <c r="B675" s="17"/>
      <c r="C675" s="10"/>
      <c r="D675" s="10"/>
      <c r="E675" s="10"/>
      <c r="F675" s="10"/>
    </row>
    <row r="676">
      <c r="B676" s="17"/>
      <c r="C676" s="10"/>
      <c r="D676" s="10"/>
      <c r="E676" s="10"/>
      <c r="F676" s="10"/>
    </row>
    <row r="677">
      <c r="B677" s="17"/>
      <c r="C677" s="10"/>
      <c r="D677" s="10"/>
      <c r="E677" s="10"/>
      <c r="F677" s="10"/>
    </row>
    <row r="678">
      <c r="B678" s="17"/>
      <c r="C678" s="10"/>
      <c r="D678" s="10"/>
      <c r="E678" s="10"/>
      <c r="F678" s="10"/>
    </row>
    <row r="679">
      <c r="B679" s="17"/>
      <c r="C679" s="10"/>
      <c r="D679" s="10"/>
      <c r="E679" s="10"/>
      <c r="F679" s="10"/>
    </row>
    <row r="680">
      <c r="B680" s="17"/>
      <c r="C680" s="10"/>
      <c r="D680" s="10"/>
      <c r="E680" s="10"/>
      <c r="F680" s="10"/>
    </row>
    <row r="681">
      <c r="B681" s="17"/>
      <c r="C681" s="10"/>
      <c r="D681" s="10"/>
      <c r="E681" s="10"/>
      <c r="F681" s="10"/>
    </row>
    <row r="682">
      <c r="B682" s="17"/>
      <c r="C682" s="10"/>
      <c r="D682" s="10"/>
      <c r="E682" s="10"/>
      <c r="F682" s="10"/>
    </row>
    <row r="683">
      <c r="B683" s="17"/>
      <c r="C683" s="10"/>
      <c r="D683" s="10"/>
      <c r="E683" s="10"/>
      <c r="F683" s="10"/>
    </row>
    <row r="684">
      <c r="B684" s="17"/>
      <c r="C684" s="10"/>
      <c r="D684" s="10"/>
      <c r="E684" s="10"/>
      <c r="F684" s="10"/>
    </row>
    <row r="685">
      <c r="B685" s="17"/>
      <c r="C685" s="10"/>
      <c r="D685" s="10"/>
      <c r="E685" s="10"/>
      <c r="F685" s="10"/>
    </row>
    <row r="686">
      <c r="B686" s="17"/>
      <c r="C686" s="10"/>
      <c r="D686" s="10"/>
      <c r="E686" s="10"/>
      <c r="F686" s="10"/>
    </row>
    <row r="687">
      <c r="B687" s="17"/>
      <c r="C687" s="10"/>
      <c r="D687" s="10"/>
      <c r="E687" s="10"/>
      <c r="F687" s="10"/>
    </row>
    <row r="688">
      <c r="B688" s="17"/>
      <c r="C688" s="10"/>
      <c r="D688" s="10"/>
      <c r="E688" s="10"/>
      <c r="F688" s="10"/>
    </row>
    <row r="689">
      <c r="B689" s="17"/>
      <c r="C689" s="10"/>
      <c r="D689" s="10"/>
      <c r="E689" s="10"/>
      <c r="F689" s="10"/>
    </row>
    <row r="690">
      <c r="B690" s="17"/>
      <c r="C690" s="10"/>
      <c r="D690" s="10"/>
      <c r="E690" s="10"/>
      <c r="F690" s="10"/>
    </row>
    <row r="691">
      <c r="B691" s="17"/>
      <c r="C691" s="10"/>
      <c r="D691" s="10"/>
      <c r="E691" s="10"/>
      <c r="F691" s="10"/>
    </row>
    <row r="692">
      <c r="B692" s="17"/>
      <c r="C692" s="10"/>
      <c r="D692" s="10"/>
      <c r="E692" s="10"/>
      <c r="F692" s="10"/>
    </row>
    <row r="693">
      <c r="B693" s="17"/>
      <c r="C693" s="10"/>
      <c r="D693" s="10"/>
      <c r="E693" s="10"/>
      <c r="F693" s="10"/>
    </row>
    <row r="694">
      <c r="B694" s="17"/>
      <c r="C694" s="10"/>
      <c r="D694" s="10"/>
      <c r="E694" s="10"/>
      <c r="F694" s="10"/>
    </row>
    <row r="695">
      <c r="B695" s="17"/>
      <c r="C695" s="10"/>
      <c r="D695" s="10"/>
      <c r="E695" s="10"/>
      <c r="F695" s="10"/>
    </row>
    <row r="696">
      <c r="B696" s="17"/>
      <c r="C696" s="10"/>
      <c r="D696" s="10"/>
      <c r="E696" s="10"/>
      <c r="F696" s="10"/>
    </row>
    <row r="697">
      <c r="B697" s="17"/>
      <c r="C697" s="10"/>
      <c r="D697" s="10"/>
      <c r="E697" s="10"/>
      <c r="F697" s="10"/>
    </row>
    <row r="698">
      <c r="B698" s="17"/>
      <c r="C698" s="10"/>
      <c r="D698" s="10"/>
      <c r="E698" s="10"/>
      <c r="F698" s="10"/>
    </row>
    <row r="699">
      <c r="B699" s="17"/>
      <c r="C699" s="10"/>
      <c r="D699" s="10"/>
      <c r="E699" s="10"/>
      <c r="F699" s="10"/>
    </row>
    <row r="700">
      <c r="B700" s="17"/>
      <c r="C700" s="10"/>
      <c r="D700" s="10"/>
      <c r="E700" s="10"/>
      <c r="F700" s="10"/>
    </row>
    <row r="701">
      <c r="B701" s="17"/>
      <c r="C701" s="10"/>
      <c r="D701" s="10"/>
      <c r="E701" s="10"/>
      <c r="F701" s="10"/>
    </row>
    <row r="702">
      <c r="B702" s="17"/>
      <c r="C702" s="10"/>
      <c r="D702" s="10"/>
      <c r="E702" s="10"/>
      <c r="F702" s="10"/>
    </row>
    <row r="703">
      <c r="B703" s="17"/>
      <c r="C703" s="10"/>
      <c r="D703" s="10"/>
      <c r="E703" s="10"/>
      <c r="F703" s="10"/>
    </row>
    <row r="704">
      <c r="B704" s="17"/>
      <c r="C704" s="10"/>
      <c r="D704" s="10"/>
      <c r="E704" s="10"/>
      <c r="F704" s="10"/>
    </row>
    <row r="705">
      <c r="B705" s="17"/>
      <c r="C705" s="10"/>
      <c r="D705" s="10"/>
      <c r="E705" s="10"/>
      <c r="F705" s="10"/>
    </row>
    <row r="706">
      <c r="B706" s="17"/>
      <c r="C706" s="10"/>
      <c r="D706" s="10"/>
      <c r="E706" s="10"/>
      <c r="F706" s="10"/>
    </row>
    <row r="707">
      <c r="B707" s="17"/>
      <c r="C707" s="10"/>
      <c r="D707" s="10"/>
      <c r="E707" s="10"/>
      <c r="F707" s="10"/>
    </row>
    <row r="708">
      <c r="B708" s="17"/>
      <c r="C708" s="10"/>
      <c r="D708" s="10"/>
      <c r="E708" s="10"/>
      <c r="F708" s="10"/>
    </row>
    <row r="709">
      <c r="B709" s="17"/>
      <c r="C709" s="10"/>
      <c r="D709" s="10"/>
      <c r="E709" s="10"/>
      <c r="F709" s="10"/>
    </row>
    <row r="710">
      <c r="B710" s="17"/>
      <c r="C710" s="10"/>
      <c r="D710" s="10"/>
      <c r="E710" s="10"/>
      <c r="F710" s="10"/>
    </row>
    <row r="711">
      <c r="B711" s="17"/>
      <c r="C711" s="10"/>
      <c r="D711" s="10"/>
      <c r="E711" s="10"/>
      <c r="F711" s="10"/>
    </row>
    <row r="712">
      <c r="B712" s="17"/>
      <c r="C712" s="10"/>
      <c r="D712" s="10"/>
      <c r="E712" s="10"/>
      <c r="F712" s="10"/>
    </row>
    <row r="713">
      <c r="B713" s="17"/>
      <c r="C713" s="10"/>
      <c r="D713" s="10"/>
      <c r="E713" s="10"/>
      <c r="F713" s="10"/>
    </row>
    <row r="714">
      <c r="B714" s="17"/>
      <c r="C714" s="10"/>
      <c r="D714" s="10"/>
      <c r="E714" s="10"/>
      <c r="F714" s="10"/>
    </row>
    <row r="715">
      <c r="B715" s="17"/>
      <c r="C715" s="10"/>
      <c r="D715" s="10"/>
      <c r="E715" s="10"/>
      <c r="F715" s="10"/>
    </row>
    <row r="716">
      <c r="B716" s="17"/>
      <c r="C716" s="10"/>
      <c r="D716" s="10"/>
      <c r="E716" s="10"/>
      <c r="F716" s="10"/>
    </row>
    <row r="717">
      <c r="B717" s="17"/>
      <c r="C717" s="10"/>
      <c r="D717" s="10"/>
      <c r="E717" s="10"/>
      <c r="F717" s="10"/>
    </row>
    <row r="718">
      <c r="B718" s="17"/>
      <c r="C718" s="10"/>
      <c r="D718" s="10"/>
      <c r="E718" s="10"/>
      <c r="F718" s="10"/>
    </row>
    <row r="719">
      <c r="B719" s="17"/>
      <c r="C719" s="10"/>
      <c r="D719" s="10"/>
      <c r="E719" s="10"/>
      <c r="F719" s="10"/>
    </row>
    <row r="720">
      <c r="B720" s="17"/>
      <c r="C720" s="10"/>
      <c r="D720" s="10"/>
      <c r="E720" s="10"/>
      <c r="F720" s="10"/>
    </row>
    <row r="721">
      <c r="B721" s="17"/>
      <c r="C721" s="10"/>
      <c r="D721" s="10"/>
      <c r="E721" s="10"/>
      <c r="F721" s="10"/>
    </row>
    <row r="722">
      <c r="B722" s="17"/>
      <c r="C722" s="10"/>
      <c r="D722" s="10"/>
      <c r="E722" s="10"/>
      <c r="F722" s="10"/>
    </row>
    <row r="723">
      <c r="B723" s="17"/>
      <c r="C723" s="10"/>
      <c r="D723" s="10"/>
      <c r="E723" s="10"/>
      <c r="F723" s="10"/>
    </row>
    <row r="724">
      <c r="B724" s="17"/>
      <c r="C724" s="10"/>
      <c r="D724" s="10"/>
      <c r="E724" s="10"/>
      <c r="F724" s="10"/>
    </row>
    <row r="725">
      <c r="B725" s="17"/>
      <c r="C725" s="10"/>
      <c r="D725" s="10"/>
      <c r="E725" s="10"/>
      <c r="F725" s="10"/>
    </row>
    <row r="726">
      <c r="B726" s="17"/>
      <c r="C726" s="10"/>
      <c r="D726" s="10"/>
      <c r="E726" s="10"/>
      <c r="F726" s="10"/>
    </row>
    <row r="727">
      <c r="B727" s="17"/>
      <c r="C727" s="10"/>
      <c r="D727" s="10"/>
      <c r="E727" s="10"/>
      <c r="F727" s="10"/>
    </row>
    <row r="728">
      <c r="B728" s="17"/>
      <c r="C728" s="10"/>
      <c r="D728" s="10"/>
      <c r="E728" s="10"/>
      <c r="F728" s="10"/>
    </row>
    <row r="729">
      <c r="B729" s="17"/>
      <c r="C729" s="10"/>
      <c r="D729" s="10"/>
      <c r="E729" s="10"/>
      <c r="F729" s="10"/>
    </row>
    <row r="730">
      <c r="B730" s="17"/>
      <c r="C730" s="10"/>
      <c r="D730" s="10"/>
      <c r="E730" s="10"/>
      <c r="F730" s="10"/>
    </row>
    <row r="731">
      <c r="B731" s="17"/>
      <c r="C731" s="10"/>
      <c r="D731" s="10"/>
      <c r="E731" s="10"/>
      <c r="F731" s="10"/>
    </row>
    <row r="732">
      <c r="B732" s="17"/>
      <c r="C732" s="10"/>
      <c r="D732" s="10"/>
      <c r="E732" s="10"/>
      <c r="F732" s="10"/>
    </row>
    <row r="733">
      <c r="B733" s="17"/>
      <c r="C733" s="10"/>
      <c r="D733" s="10"/>
      <c r="E733" s="10"/>
      <c r="F733" s="10"/>
    </row>
    <row r="734">
      <c r="B734" s="17"/>
      <c r="C734" s="10"/>
      <c r="D734" s="10"/>
      <c r="E734" s="10"/>
      <c r="F734" s="10"/>
    </row>
    <row r="735">
      <c r="B735" s="17"/>
      <c r="C735" s="10"/>
      <c r="D735" s="10"/>
      <c r="E735" s="10"/>
      <c r="F735" s="10"/>
    </row>
    <row r="736">
      <c r="B736" s="17"/>
      <c r="C736" s="10"/>
      <c r="D736" s="10"/>
      <c r="E736" s="10"/>
      <c r="F736" s="10"/>
    </row>
    <row r="737">
      <c r="B737" s="17"/>
      <c r="C737" s="10"/>
      <c r="D737" s="10"/>
      <c r="E737" s="10"/>
      <c r="F737" s="10"/>
    </row>
    <row r="738">
      <c r="B738" s="17"/>
      <c r="C738" s="10"/>
      <c r="D738" s="10"/>
      <c r="E738" s="10"/>
      <c r="F738" s="10"/>
    </row>
    <row r="739">
      <c r="B739" s="17"/>
      <c r="C739" s="10"/>
      <c r="D739" s="10"/>
      <c r="E739" s="10"/>
      <c r="F739" s="10"/>
    </row>
    <row r="740">
      <c r="B740" s="17"/>
      <c r="C740" s="10"/>
      <c r="D740" s="10"/>
      <c r="E740" s="10"/>
      <c r="F740" s="10"/>
    </row>
    <row r="741">
      <c r="B741" s="17"/>
      <c r="C741" s="10"/>
      <c r="D741" s="10"/>
      <c r="E741" s="10"/>
      <c r="F741" s="10"/>
    </row>
    <row r="742">
      <c r="B742" s="17"/>
      <c r="C742" s="10"/>
      <c r="D742" s="10"/>
      <c r="E742" s="10"/>
      <c r="F742" s="10"/>
    </row>
    <row r="743">
      <c r="B743" s="17"/>
      <c r="C743" s="10"/>
      <c r="D743" s="10"/>
      <c r="E743" s="10"/>
      <c r="F743" s="10"/>
    </row>
    <row r="744">
      <c r="B744" s="17"/>
      <c r="C744" s="10"/>
      <c r="D744" s="10"/>
      <c r="E744" s="10"/>
      <c r="F744" s="10"/>
    </row>
    <row r="745">
      <c r="B745" s="17"/>
      <c r="C745" s="10"/>
      <c r="D745" s="10"/>
      <c r="E745" s="10"/>
      <c r="F745" s="10"/>
    </row>
    <row r="746">
      <c r="B746" s="17"/>
      <c r="C746" s="10"/>
      <c r="D746" s="10"/>
      <c r="E746" s="10"/>
      <c r="F746" s="10"/>
    </row>
    <row r="747">
      <c r="B747" s="17"/>
      <c r="C747" s="10"/>
      <c r="D747" s="10"/>
      <c r="E747" s="10"/>
      <c r="F747" s="10"/>
    </row>
    <row r="748">
      <c r="B748" s="17"/>
      <c r="C748" s="10"/>
      <c r="D748" s="10"/>
      <c r="E748" s="10"/>
      <c r="F748" s="10"/>
    </row>
    <row r="749">
      <c r="B749" s="17"/>
      <c r="C749" s="10"/>
      <c r="D749" s="10"/>
      <c r="E749" s="10"/>
      <c r="F749" s="10"/>
    </row>
    <row r="750">
      <c r="B750" s="17"/>
      <c r="C750" s="10"/>
      <c r="D750" s="10"/>
      <c r="E750" s="10"/>
      <c r="F750" s="10"/>
    </row>
    <row r="751">
      <c r="B751" s="17"/>
      <c r="C751" s="10"/>
      <c r="D751" s="10"/>
      <c r="E751" s="10"/>
      <c r="F751" s="10"/>
    </row>
    <row r="752">
      <c r="B752" s="17"/>
      <c r="C752" s="10"/>
      <c r="D752" s="10"/>
      <c r="E752" s="10"/>
      <c r="F752" s="10"/>
    </row>
    <row r="753">
      <c r="B753" s="17"/>
      <c r="C753" s="10"/>
      <c r="D753" s="10"/>
      <c r="E753" s="10"/>
      <c r="F753" s="10"/>
    </row>
    <row r="754">
      <c r="B754" s="17"/>
      <c r="C754" s="10"/>
      <c r="D754" s="10"/>
      <c r="E754" s="10"/>
      <c r="F754" s="10"/>
    </row>
    <row r="755">
      <c r="B755" s="17"/>
      <c r="C755" s="10"/>
      <c r="D755" s="10"/>
      <c r="E755" s="10"/>
      <c r="F755" s="10"/>
    </row>
    <row r="756">
      <c r="B756" s="17"/>
      <c r="C756" s="10"/>
      <c r="D756" s="10"/>
      <c r="E756" s="10"/>
      <c r="F756" s="10"/>
    </row>
    <row r="757">
      <c r="B757" s="17"/>
      <c r="C757" s="10"/>
      <c r="D757" s="10"/>
      <c r="E757" s="10"/>
      <c r="F757" s="10"/>
    </row>
    <row r="758">
      <c r="B758" s="17"/>
      <c r="C758" s="10"/>
      <c r="D758" s="10"/>
      <c r="E758" s="10"/>
      <c r="F758" s="10"/>
    </row>
    <row r="759">
      <c r="B759" s="17"/>
      <c r="C759" s="10"/>
      <c r="D759" s="10"/>
      <c r="E759" s="10"/>
      <c r="F759" s="10"/>
    </row>
    <row r="760">
      <c r="B760" s="17"/>
      <c r="C760" s="10"/>
      <c r="D760" s="10"/>
      <c r="E760" s="10"/>
      <c r="F760" s="10"/>
    </row>
    <row r="761">
      <c r="B761" s="17"/>
      <c r="C761" s="10"/>
      <c r="D761" s="10"/>
      <c r="E761" s="10"/>
      <c r="F761" s="10"/>
    </row>
    <row r="762">
      <c r="B762" s="17"/>
      <c r="C762" s="10"/>
      <c r="D762" s="10"/>
      <c r="E762" s="10"/>
      <c r="F762" s="10"/>
    </row>
    <row r="763">
      <c r="B763" s="17"/>
      <c r="C763" s="10"/>
      <c r="D763" s="10"/>
      <c r="E763" s="10"/>
      <c r="F763" s="10"/>
    </row>
    <row r="764">
      <c r="B764" s="17"/>
      <c r="C764" s="10"/>
      <c r="D764" s="10"/>
      <c r="E764" s="10"/>
      <c r="F764" s="10"/>
    </row>
    <row r="765">
      <c r="B765" s="17"/>
      <c r="C765" s="10"/>
      <c r="D765" s="10"/>
      <c r="E765" s="10"/>
      <c r="F765" s="10"/>
    </row>
    <row r="766">
      <c r="B766" s="17"/>
      <c r="C766" s="10"/>
      <c r="D766" s="10"/>
      <c r="E766" s="10"/>
      <c r="F766" s="10"/>
    </row>
    <row r="767">
      <c r="B767" s="17"/>
      <c r="C767" s="10"/>
      <c r="D767" s="10"/>
      <c r="E767" s="10"/>
      <c r="F767" s="10"/>
    </row>
    <row r="768">
      <c r="B768" s="17"/>
      <c r="C768" s="10"/>
      <c r="D768" s="10"/>
      <c r="E768" s="10"/>
      <c r="F768" s="10"/>
    </row>
    <row r="769">
      <c r="B769" s="17"/>
      <c r="C769" s="10"/>
      <c r="D769" s="10"/>
      <c r="E769" s="10"/>
      <c r="F769" s="10"/>
    </row>
    <row r="770">
      <c r="B770" s="17"/>
      <c r="C770" s="10"/>
      <c r="D770" s="10"/>
      <c r="E770" s="10"/>
      <c r="F770" s="10"/>
    </row>
    <row r="771">
      <c r="B771" s="17"/>
      <c r="C771" s="10"/>
      <c r="D771" s="10"/>
      <c r="E771" s="10"/>
      <c r="F771" s="10"/>
    </row>
    <row r="772">
      <c r="B772" s="17"/>
      <c r="C772" s="10"/>
      <c r="D772" s="10"/>
      <c r="E772" s="10"/>
      <c r="F772" s="10"/>
    </row>
    <row r="773">
      <c r="B773" s="17"/>
      <c r="C773" s="10"/>
      <c r="D773" s="10"/>
      <c r="E773" s="10"/>
      <c r="F773" s="10"/>
    </row>
    <row r="774">
      <c r="B774" s="17"/>
      <c r="C774" s="10"/>
      <c r="D774" s="10"/>
      <c r="E774" s="10"/>
      <c r="F774" s="10"/>
    </row>
    <row r="775">
      <c r="B775" s="17"/>
      <c r="C775" s="10"/>
      <c r="D775" s="10"/>
      <c r="E775" s="10"/>
      <c r="F775" s="10"/>
    </row>
    <row r="776">
      <c r="B776" s="17"/>
      <c r="C776" s="10"/>
      <c r="D776" s="10"/>
      <c r="E776" s="10"/>
      <c r="F776" s="10"/>
    </row>
    <row r="777">
      <c r="B777" s="17"/>
      <c r="C777" s="10"/>
      <c r="D777" s="10"/>
      <c r="E777" s="10"/>
      <c r="F777" s="10"/>
    </row>
    <row r="778">
      <c r="B778" s="17"/>
      <c r="C778" s="10"/>
      <c r="D778" s="10"/>
      <c r="E778" s="10"/>
      <c r="F778" s="10"/>
    </row>
    <row r="779">
      <c r="B779" s="17"/>
      <c r="C779" s="10"/>
      <c r="D779" s="10"/>
      <c r="E779" s="10"/>
      <c r="F779" s="10"/>
    </row>
    <row r="780">
      <c r="B780" s="17"/>
      <c r="C780" s="10"/>
      <c r="D780" s="10"/>
      <c r="E780" s="10"/>
      <c r="F780" s="10"/>
    </row>
    <row r="781">
      <c r="B781" s="17"/>
      <c r="C781" s="10"/>
      <c r="D781" s="10"/>
      <c r="E781" s="10"/>
      <c r="F781" s="10"/>
    </row>
    <row r="782">
      <c r="B782" s="17"/>
      <c r="C782" s="10"/>
      <c r="D782" s="10"/>
      <c r="E782" s="10"/>
      <c r="F782" s="10"/>
    </row>
    <row r="783">
      <c r="B783" s="17"/>
      <c r="C783" s="10"/>
      <c r="D783" s="10"/>
      <c r="E783" s="10"/>
      <c r="F783" s="10"/>
    </row>
    <row r="784">
      <c r="B784" s="17"/>
      <c r="C784" s="10"/>
      <c r="D784" s="10"/>
      <c r="E784" s="10"/>
      <c r="F784" s="10"/>
    </row>
    <row r="785">
      <c r="B785" s="17"/>
      <c r="C785" s="10"/>
      <c r="D785" s="10"/>
      <c r="E785" s="10"/>
      <c r="F785" s="10"/>
    </row>
    <row r="786">
      <c r="B786" s="17"/>
      <c r="C786" s="10"/>
      <c r="D786" s="10"/>
      <c r="E786" s="10"/>
      <c r="F786" s="10"/>
    </row>
    <row r="787">
      <c r="B787" s="17"/>
      <c r="C787" s="10"/>
      <c r="D787" s="10"/>
      <c r="E787" s="10"/>
      <c r="F787" s="10"/>
    </row>
    <row r="788">
      <c r="B788" s="17"/>
      <c r="C788" s="10"/>
      <c r="D788" s="10"/>
      <c r="E788" s="10"/>
      <c r="F788" s="10"/>
    </row>
    <row r="789">
      <c r="B789" s="17"/>
      <c r="C789" s="10"/>
      <c r="D789" s="10"/>
      <c r="E789" s="10"/>
      <c r="F789" s="10"/>
    </row>
    <row r="790">
      <c r="B790" s="17"/>
      <c r="C790" s="10"/>
      <c r="D790" s="10"/>
      <c r="E790" s="10"/>
      <c r="F790" s="10"/>
    </row>
    <row r="791">
      <c r="B791" s="17"/>
      <c r="C791" s="10"/>
      <c r="D791" s="10"/>
      <c r="E791" s="10"/>
      <c r="F791" s="10"/>
    </row>
    <row r="792">
      <c r="B792" s="17"/>
      <c r="C792" s="10"/>
      <c r="D792" s="10"/>
      <c r="E792" s="10"/>
      <c r="F792" s="10"/>
    </row>
    <row r="793">
      <c r="B793" s="17"/>
      <c r="C793" s="10"/>
      <c r="D793" s="10"/>
      <c r="E793" s="10"/>
      <c r="F793" s="10"/>
    </row>
    <row r="794">
      <c r="B794" s="17"/>
      <c r="C794" s="10"/>
      <c r="D794" s="10"/>
      <c r="E794" s="10"/>
      <c r="F794" s="10"/>
    </row>
    <row r="795">
      <c r="B795" s="17"/>
      <c r="C795" s="10"/>
      <c r="D795" s="10"/>
      <c r="E795" s="10"/>
      <c r="F795" s="10"/>
    </row>
    <row r="796">
      <c r="B796" s="17"/>
      <c r="C796" s="10"/>
      <c r="D796" s="10"/>
      <c r="E796" s="10"/>
      <c r="F796" s="10"/>
    </row>
    <row r="797">
      <c r="B797" s="17"/>
      <c r="C797" s="10"/>
      <c r="D797" s="10"/>
      <c r="E797" s="10"/>
      <c r="F797" s="10"/>
    </row>
    <row r="798">
      <c r="B798" s="17"/>
      <c r="C798" s="10"/>
      <c r="D798" s="10"/>
      <c r="E798" s="10"/>
      <c r="F798" s="10"/>
    </row>
    <row r="799">
      <c r="B799" s="17"/>
      <c r="C799" s="10"/>
      <c r="D799" s="10"/>
      <c r="E799" s="10"/>
      <c r="F799" s="10"/>
    </row>
    <row r="800">
      <c r="B800" s="17"/>
      <c r="C800" s="10"/>
      <c r="D800" s="10"/>
      <c r="E800" s="10"/>
      <c r="F800" s="10"/>
    </row>
    <row r="801">
      <c r="B801" s="17"/>
      <c r="C801" s="10"/>
      <c r="D801" s="10"/>
      <c r="E801" s="10"/>
      <c r="F801" s="10"/>
    </row>
    <row r="802">
      <c r="B802" s="17"/>
      <c r="C802" s="10"/>
      <c r="D802" s="10"/>
      <c r="E802" s="10"/>
      <c r="F802" s="10"/>
    </row>
    <row r="803">
      <c r="B803" s="17"/>
      <c r="C803" s="10"/>
      <c r="D803" s="10"/>
      <c r="E803" s="10"/>
      <c r="F803" s="10"/>
    </row>
    <row r="804">
      <c r="B804" s="17"/>
      <c r="C804" s="10"/>
      <c r="D804" s="10"/>
      <c r="E804" s="10"/>
      <c r="F804" s="10"/>
    </row>
    <row r="805">
      <c r="B805" s="17"/>
      <c r="C805" s="10"/>
      <c r="D805" s="10"/>
      <c r="E805" s="10"/>
      <c r="F805" s="10"/>
    </row>
    <row r="806">
      <c r="B806" s="17"/>
      <c r="C806" s="10"/>
      <c r="D806" s="10"/>
      <c r="E806" s="10"/>
      <c r="F806" s="10"/>
    </row>
    <row r="807">
      <c r="B807" s="17"/>
      <c r="C807" s="10"/>
      <c r="D807" s="10"/>
      <c r="E807" s="10"/>
      <c r="F807" s="10"/>
    </row>
    <row r="808">
      <c r="B808" s="17"/>
      <c r="C808" s="10"/>
      <c r="D808" s="10"/>
      <c r="E808" s="10"/>
      <c r="F808" s="10"/>
    </row>
    <row r="809">
      <c r="B809" s="17"/>
      <c r="C809" s="10"/>
      <c r="D809" s="10"/>
      <c r="E809" s="10"/>
      <c r="F809" s="10"/>
    </row>
    <row r="810">
      <c r="B810" s="17"/>
      <c r="C810" s="10"/>
      <c r="D810" s="10"/>
      <c r="E810" s="10"/>
      <c r="F810" s="10"/>
    </row>
    <row r="811">
      <c r="B811" s="17"/>
      <c r="C811" s="10"/>
      <c r="D811" s="10"/>
      <c r="E811" s="10"/>
      <c r="F811" s="10"/>
    </row>
    <row r="812">
      <c r="B812" s="17"/>
      <c r="C812" s="10"/>
      <c r="D812" s="10"/>
      <c r="E812" s="10"/>
      <c r="F812" s="10"/>
    </row>
    <row r="813">
      <c r="B813" s="17"/>
      <c r="C813" s="10"/>
      <c r="D813" s="10"/>
      <c r="E813" s="10"/>
      <c r="F813" s="10"/>
    </row>
    <row r="814">
      <c r="B814" s="17"/>
      <c r="C814" s="10"/>
      <c r="D814" s="10"/>
      <c r="E814" s="10"/>
      <c r="F814" s="10"/>
    </row>
    <row r="815">
      <c r="B815" s="17"/>
      <c r="C815" s="10"/>
      <c r="D815" s="10"/>
      <c r="E815" s="10"/>
      <c r="F815" s="10"/>
    </row>
    <row r="816">
      <c r="B816" s="17"/>
      <c r="C816" s="10"/>
      <c r="D816" s="10"/>
      <c r="E816" s="10"/>
      <c r="F816" s="10"/>
    </row>
    <row r="817">
      <c r="B817" s="17"/>
      <c r="C817" s="10"/>
      <c r="D817" s="10"/>
      <c r="E817" s="10"/>
      <c r="F817" s="10"/>
    </row>
    <row r="818">
      <c r="B818" s="17"/>
      <c r="C818" s="10"/>
      <c r="D818" s="10"/>
      <c r="E818" s="10"/>
      <c r="F818" s="10"/>
    </row>
    <row r="819">
      <c r="B819" s="17"/>
      <c r="C819" s="10"/>
      <c r="D819" s="10"/>
      <c r="E819" s="10"/>
      <c r="F819" s="10"/>
    </row>
    <row r="820">
      <c r="B820" s="17"/>
      <c r="C820" s="10"/>
      <c r="D820" s="10"/>
      <c r="E820" s="10"/>
      <c r="F820" s="10"/>
    </row>
    <row r="821">
      <c r="B821" s="17"/>
      <c r="C821" s="10"/>
      <c r="D821" s="10"/>
      <c r="E821" s="10"/>
      <c r="F821" s="10"/>
    </row>
    <row r="822">
      <c r="B822" s="17"/>
      <c r="C822" s="10"/>
      <c r="D822" s="10"/>
      <c r="E822" s="10"/>
      <c r="F822" s="10"/>
    </row>
    <row r="823">
      <c r="B823" s="17"/>
      <c r="C823" s="10"/>
      <c r="D823" s="10"/>
      <c r="E823" s="10"/>
      <c r="F823" s="10"/>
    </row>
    <row r="824">
      <c r="B824" s="17"/>
      <c r="C824" s="10"/>
      <c r="D824" s="10"/>
      <c r="E824" s="10"/>
      <c r="F824" s="10"/>
    </row>
    <row r="825">
      <c r="B825" s="17"/>
      <c r="C825" s="10"/>
      <c r="D825" s="10"/>
      <c r="E825" s="10"/>
      <c r="F825" s="10"/>
    </row>
    <row r="826">
      <c r="B826" s="17"/>
      <c r="C826" s="10"/>
      <c r="D826" s="10"/>
      <c r="E826" s="10"/>
      <c r="F826" s="10"/>
    </row>
    <row r="827">
      <c r="B827" s="17"/>
      <c r="C827" s="10"/>
      <c r="D827" s="10"/>
      <c r="E827" s="10"/>
      <c r="F827" s="10"/>
    </row>
    <row r="828">
      <c r="B828" s="17"/>
      <c r="C828" s="10"/>
      <c r="D828" s="10"/>
      <c r="E828" s="10"/>
      <c r="F828" s="10"/>
    </row>
    <row r="829">
      <c r="B829" s="17"/>
      <c r="C829" s="10"/>
      <c r="D829" s="10"/>
      <c r="E829" s="10"/>
      <c r="F829" s="10"/>
    </row>
    <row r="830">
      <c r="B830" s="17"/>
      <c r="C830" s="10"/>
      <c r="D830" s="10"/>
      <c r="E830" s="10"/>
      <c r="F830" s="10"/>
    </row>
    <row r="831">
      <c r="B831" s="17"/>
      <c r="C831" s="10"/>
      <c r="D831" s="10"/>
      <c r="E831" s="10"/>
      <c r="F831" s="10"/>
    </row>
    <row r="832">
      <c r="B832" s="17"/>
      <c r="C832" s="10"/>
      <c r="D832" s="10"/>
      <c r="E832" s="10"/>
      <c r="F832" s="10"/>
    </row>
    <row r="833">
      <c r="B833" s="17"/>
      <c r="C833" s="10"/>
      <c r="D833" s="10"/>
      <c r="E833" s="10"/>
      <c r="F833" s="10"/>
    </row>
    <row r="834">
      <c r="B834" s="17"/>
      <c r="C834" s="10"/>
      <c r="D834" s="10"/>
      <c r="E834" s="10"/>
      <c r="F834" s="10"/>
    </row>
    <row r="835">
      <c r="B835" s="17"/>
      <c r="C835" s="10"/>
      <c r="D835" s="10"/>
      <c r="E835" s="10"/>
      <c r="F835" s="10"/>
    </row>
    <row r="836">
      <c r="B836" s="17"/>
      <c r="C836" s="10"/>
      <c r="D836" s="10"/>
      <c r="E836" s="10"/>
      <c r="F836" s="10"/>
    </row>
    <row r="837">
      <c r="B837" s="17"/>
      <c r="C837" s="10"/>
      <c r="D837" s="10"/>
      <c r="E837" s="10"/>
      <c r="F837" s="10"/>
    </row>
    <row r="838">
      <c r="B838" s="17"/>
      <c r="C838" s="10"/>
      <c r="D838" s="10"/>
      <c r="E838" s="10"/>
      <c r="F838" s="10"/>
    </row>
    <row r="839">
      <c r="B839" s="17"/>
      <c r="C839" s="10"/>
      <c r="D839" s="10"/>
      <c r="E839" s="10"/>
      <c r="F839" s="10"/>
    </row>
    <row r="840">
      <c r="B840" s="17"/>
      <c r="C840" s="10"/>
      <c r="D840" s="10"/>
      <c r="E840" s="10"/>
      <c r="F840" s="10"/>
    </row>
    <row r="841">
      <c r="B841" s="17"/>
      <c r="C841" s="10"/>
      <c r="D841" s="10"/>
      <c r="E841" s="10"/>
      <c r="F841" s="10"/>
    </row>
    <row r="842">
      <c r="B842" s="17"/>
      <c r="C842" s="10"/>
      <c r="D842" s="10"/>
      <c r="E842" s="10"/>
      <c r="F842" s="10"/>
    </row>
    <row r="843">
      <c r="B843" s="17"/>
      <c r="C843" s="10"/>
      <c r="D843" s="10"/>
      <c r="E843" s="10"/>
      <c r="F843" s="10"/>
    </row>
    <row r="844">
      <c r="B844" s="17"/>
      <c r="C844" s="10"/>
      <c r="D844" s="10"/>
      <c r="E844" s="10"/>
      <c r="F844" s="10"/>
    </row>
    <row r="845">
      <c r="B845" s="17"/>
      <c r="C845" s="10"/>
      <c r="D845" s="10"/>
      <c r="E845" s="10"/>
      <c r="F845" s="10"/>
    </row>
    <row r="846">
      <c r="B846" s="17"/>
      <c r="C846" s="10"/>
      <c r="D846" s="10"/>
      <c r="E846" s="10"/>
      <c r="F846" s="10"/>
    </row>
    <row r="847">
      <c r="B847" s="17"/>
      <c r="C847" s="10"/>
      <c r="D847" s="10"/>
      <c r="E847" s="10"/>
      <c r="F847" s="10"/>
    </row>
    <row r="848">
      <c r="B848" s="17"/>
      <c r="C848" s="10"/>
      <c r="D848" s="10"/>
      <c r="E848" s="10"/>
      <c r="F848" s="10"/>
    </row>
    <row r="849">
      <c r="B849" s="17"/>
      <c r="C849" s="10"/>
      <c r="D849" s="10"/>
      <c r="E849" s="10"/>
      <c r="F849" s="10"/>
    </row>
    <row r="850">
      <c r="B850" s="17"/>
      <c r="C850" s="10"/>
      <c r="D850" s="10"/>
      <c r="E850" s="10"/>
      <c r="F850" s="10"/>
    </row>
    <row r="851">
      <c r="B851" s="17"/>
      <c r="C851" s="10"/>
      <c r="D851" s="10"/>
      <c r="E851" s="10"/>
      <c r="F851" s="10"/>
    </row>
    <row r="852">
      <c r="B852" s="17"/>
      <c r="C852" s="10"/>
      <c r="D852" s="10"/>
      <c r="E852" s="10"/>
      <c r="F852" s="10"/>
    </row>
    <row r="853">
      <c r="B853" s="17"/>
      <c r="C853" s="10"/>
      <c r="D853" s="10"/>
      <c r="E853" s="10"/>
      <c r="F853" s="10"/>
    </row>
    <row r="854">
      <c r="B854" s="17"/>
      <c r="C854" s="10"/>
      <c r="D854" s="10"/>
      <c r="E854" s="10"/>
      <c r="F854" s="10"/>
    </row>
    <row r="855">
      <c r="B855" s="17"/>
      <c r="C855" s="10"/>
      <c r="D855" s="10"/>
      <c r="E855" s="10"/>
      <c r="F855" s="10"/>
    </row>
    <row r="856">
      <c r="B856" s="17"/>
      <c r="C856" s="10"/>
      <c r="D856" s="10"/>
      <c r="E856" s="10"/>
      <c r="F856" s="10"/>
    </row>
    <row r="857">
      <c r="B857" s="17"/>
      <c r="C857" s="10"/>
      <c r="D857" s="10"/>
      <c r="E857" s="10"/>
      <c r="F857" s="10"/>
    </row>
    <row r="858">
      <c r="B858" s="17"/>
      <c r="C858" s="10"/>
      <c r="D858" s="10"/>
      <c r="E858" s="10"/>
      <c r="F858" s="10"/>
    </row>
    <row r="859">
      <c r="B859" s="17"/>
      <c r="C859" s="10"/>
      <c r="D859" s="10"/>
      <c r="E859" s="10"/>
      <c r="F859" s="10"/>
    </row>
    <row r="860">
      <c r="B860" s="17"/>
      <c r="C860" s="10"/>
      <c r="D860" s="10"/>
      <c r="E860" s="10"/>
      <c r="F860" s="10"/>
    </row>
    <row r="861">
      <c r="B861" s="17"/>
      <c r="C861" s="10"/>
      <c r="D861" s="10"/>
      <c r="E861" s="10"/>
      <c r="F861" s="10"/>
    </row>
    <row r="862">
      <c r="B862" s="17"/>
      <c r="C862" s="10"/>
      <c r="D862" s="10"/>
      <c r="E862" s="10"/>
      <c r="F862" s="10"/>
    </row>
    <row r="863">
      <c r="B863" s="17"/>
      <c r="C863" s="10"/>
      <c r="D863" s="10"/>
      <c r="E863" s="10"/>
      <c r="F863" s="10"/>
    </row>
    <row r="864">
      <c r="B864" s="17"/>
      <c r="C864" s="10"/>
      <c r="D864" s="10"/>
      <c r="E864" s="10"/>
      <c r="F864" s="10"/>
    </row>
    <row r="865">
      <c r="B865" s="17"/>
      <c r="C865" s="10"/>
      <c r="D865" s="10"/>
      <c r="E865" s="10"/>
      <c r="F865" s="10"/>
    </row>
    <row r="866">
      <c r="B866" s="17"/>
      <c r="C866" s="10"/>
      <c r="D866" s="10"/>
      <c r="E866" s="10"/>
      <c r="F866" s="10"/>
    </row>
    <row r="867">
      <c r="B867" s="17"/>
      <c r="C867" s="10"/>
      <c r="D867" s="10"/>
      <c r="E867" s="10"/>
      <c r="F867" s="10"/>
    </row>
    <row r="868">
      <c r="B868" s="17"/>
      <c r="C868" s="10"/>
      <c r="D868" s="10"/>
      <c r="E868" s="10"/>
      <c r="F868" s="10"/>
    </row>
    <row r="869">
      <c r="B869" s="17"/>
      <c r="C869" s="10"/>
      <c r="D869" s="10"/>
      <c r="E869" s="10"/>
      <c r="F869" s="10"/>
    </row>
    <row r="870">
      <c r="B870" s="17"/>
      <c r="C870" s="10"/>
      <c r="D870" s="10"/>
      <c r="E870" s="10"/>
      <c r="F870" s="10"/>
    </row>
    <row r="871">
      <c r="B871" s="17"/>
      <c r="C871" s="10"/>
      <c r="D871" s="10"/>
      <c r="E871" s="10"/>
      <c r="F871" s="10"/>
    </row>
    <row r="872">
      <c r="B872" s="17"/>
      <c r="C872" s="10"/>
      <c r="D872" s="10"/>
      <c r="E872" s="10"/>
      <c r="F872" s="10"/>
    </row>
    <row r="873">
      <c r="B873" s="17"/>
      <c r="C873" s="10"/>
      <c r="D873" s="10"/>
      <c r="E873" s="10"/>
      <c r="F873" s="10"/>
    </row>
    <row r="874">
      <c r="B874" s="17"/>
      <c r="C874" s="10"/>
      <c r="D874" s="10"/>
      <c r="E874" s="10"/>
      <c r="F874" s="10"/>
    </row>
    <row r="875">
      <c r="B875" s="17"/>
      <c r="C875" s="10"/>
      <c r="D875" s="10"/>
      <c r="E875" s="10"/>
      <c r="F875" s="10"/>
    </row>
    <row r="876">
      <c r="B876" s="17"/>
      <c r="C876" s="10"/>
      <c r="D876" s="10"/>
      <c r="E876" s="10"/>
      <c r="F876" s="10"/>
    </row>
    <row r="877">
      <c r="B877" s="17"/>
      <c r="C877" s="10"/>
      <c r="D877" s="10"/>
      <c r="E877" s="10"/>
      <c r="F877" s="10"/>
    </row>
    <row r="878">
      <c r="B878" s="17"/>
      <c r="C878" s="10"/>
      <c r="D878" s="10"/>
      <c r="E878" s="10"/>
      <c r="F878" s="10"/>
    </row>
    <row r="879">
      <c r="B879" s="17"/>
      <c r="C879" s="10"/>
      <c r="D879" s="10"/>
      <c r="E879" s="10"/>
      <c r="F879" s="10"/>
    </row>
    <row r="880">
      <c r="B880" s="17"/>
      <c r="C880" s="10"/>
      <c r="D880" s="10"/>
      <c r="E880" s="10"/>
      <c r="F880" s="10"/>
    </row>
    <row r="881">
      <c r="B881" s="17"/>
      <c r="C881" s="10"/>
      <c r="D881" s="10"/>
      <c r="E881" s="10"/>
      <c r="F881" s="10"/>
    </row>
    <row r="882">
      <c r="B882" s="17"/>
      <c r="C882" s="10"/>
      <c r="D882" s="10"/>
      <c r="E882" s="10"/>
      <c r="F882" s="10"/>
    </row>
    <row r="883">
      <c r="B883" s="17"/>
      <c r="C883" s="10"/>
      <c r="D883" s="10"/>
      <c r="E883" s="10"/>
      <c r="F883" s="10"/>
    </row>
    <row r="884">
      <c r="B884" s="17"/>
      <c r="C884" s="10"/>
      <c r="D884" s="10"/>
      <c r="E884" s="10"/>
      <c r="F884" s="10"/>
    </row>
    <row r="885">
      <c r="B885" s="17"/>
      <c r="C885" s="10"/>
      <c r="D885" s="10"/>
      <c r="E885" s="10"/>
      <c r="F885" s="10"/>
    </row>
    <row r="886">
      <c r="B886" s="17"/>
      <c r="C886" s="10"/>
      <c r="D886" s="10"/>
      <c r="E886" s="10"/>
      <c r="F886" s="10"/>
    </row>
    <row r="887">
      <c r="B887" s="17"/>
      <c r="C887" s="10"/>
      <c r="D887" s="10"/>
      <c r="E887" s="10"/>
      <c r="F887" s="10"/>
    </row>
    <row r="888">
      <c r="B888" s="17"/>
      <c r="C888" s="10"/>
      <c r="D888" s="10"/>
      <c r="E888" s="10"/>
      <c r="F888" s="10"/>
    </row>
    <row r="889">
      <c r="B889" s="17"/>
      <c r="C889" s="10"/>
      <c r="D889" s="10"/>
      <c r="E889" s="10"/>
      <c r="F889" s="10"/>
    </row>
    <row r="890">
      <c r="B890" s="17"/>
      <c r="C890" s="10"/>
      <c r="D890" s="10"/>
      <c r="E890" s="10"/>
      <c r="F890" s="10"/>
    </row>
    <row r="891">
      <c r="B891" s="17"/>
      <c r="C891" s="10"/>
      <c r="D891" s="10"/>
      <c r="E891" s="10"/>
      <c r="F891" s="10"/>
    </row>
    <row r="892">
      <c r="B892" s="17"/>
      <c r="C892" s="10"/>
      <c r="D892" s="10"/>
      <c r="E892" s="10"/>
      <c r="F892" s="10"/>
    </row>
    <row r="893">
      <c r="B893" s="17"/>
      <c r="C893" s="10"/>
      <c r="D893" s="10"/>
      <c r="E893" s="10"/>
      <c r="F893" s="10"/>
    </row>
    <row r="894">
      <c r="B894" s="17"/>
      <c r="C894" s="10"/>
      <c r="D894" s="10"/>
      <c r="E894" s="10"/>
      <c r="F894" s="10"/>
    </row>
    <row r="895">
      <c r="B895" s="17"/>
      <c r="C895" s="10"/>
      <c r="D895" s="10"/>
      <c r="E895" s="10"/>
      <c r="F895" s="10"/>
    </row>
    <row r="896">
      <c r="B896" s="17"/>
      <c r="C896" s="10"/>
      <c r="D896" s="10"/>
      <c r="E896" s="10"/>
      <c r="F896" s="10"/>
    </row>
    <row r="897">
      <c r="B897" s="17"/>
      <c r="C897" s="10"/>
      <c r="D897" s="10"/>
      <c r="E897" s="10"/>
      <c r="F897" s="10"/>
    </row>
    <row r="898">
      <c r="B898" s="17"/>
      <c r="C898" s="10"/>
      <c r="D898" s="10"/>
      <c r="E898" s="10"/>
      <c r="F898" s="10"/>
    </row>
    <row r="899">
      <c r="B899" s="17"/>
      <c r="C899" s="10"/>
      <c r="D899" s="10"/>
      <c r="E899" s="10"/>
      <c r="F899" s="10"/>
    </row>
    <row r="900">
      <c r="B900" s="17"/>
      <c r="C900" s="10"/>
      <c r="D900" s="10"/>
      <c r="E900" s="10"/>
      <c r="F900" s="10"/>
    </row>
    <row r="901">
      <c r="B901" s="17"/>
      <c r="C901" s="10"/>
      <c r="D901" s="10"/>
      <c r="E901" s="10"/>
      <c r="F901" s="10"/>
    </row>
    <row r="902">
      <c r="B902" s="17"/>
      <c r="C902" s="10"/>
      <c r="D902" s="10"/>
      <c r="E902" s="10"/>
      <c r="F902" s="10"/>
    </row>
    <row r="903">
      <c r="B903" s="17"/>
      <c r="C903" s="10"/>
      <c r="D903" s="10"/>
      <c r="E903" s="10"/>
      <c r="F903" s="10"/>
    </row>
    <row r="904">
      <c r="B904" s="17"/>
      <c r="C904" s="10"/>
      <c r="D904" s="10"/>
      <c r="E904" s="10"/>
      <c r="F904" s="10"/>
    </row>
    <row r="905">
      <c r="B905" s="17"/>
      <c r="C905" s="10"/>
      <c r="D905" s="10"/>
      <c r="E905" s="10"/>
      <c r="F905" s="10"/>
    </row>
    <row r="906">
      <c r="B906" s="17"/>
      <c r="C906" s="10"/>
      <c r="D906" s="10"/>
      <c r="E906" s="10"/>
      <c r="F906" s="10"/>
    </row>
    <row r="907">
      <c r="B907" s="17"/>
      <c r="C907" s="10"/>
      <c r="D907" s="10"/>
      <c r="E907" s="10"/>
      <c r="F907" s="10"/>
    </row>
    <row r="908">
      <c r="B908" s="17"/>
      <c r="C908" s="10"/>
      <c r="D908" s="10"/>
      <c r="E908" s="10"/>
      <c r="F908" s="10"/>
    </row>
    <row r="909">
      <c r="B909" s="17"/>
      <c r="C909" s="10"/>
      <c r="D909" s="10"/>
      <c r="E909" s="10"/>
      <c r="F909" s="10"/>
    </row>
    <row r="910">
      <c r="B910" s="17"/>
      <c r="C910" s="10"/>
      <c r="D910" s="10"/>
      <c r="E910" s="10"/>
      <c r="F910" s="10"/>
    </row>
    <row r="911">
      <c r="B911" s="17"/>
      <c r="C911" s="10"/>
      <c r="D911" s="10"/>
      <c r="E911" s="10"/>
      <c r="F911" s="10"/>
    </row>
    <row r="912">
      <c r="B912" s="17"/>
      <c r="C912" s="10"/>
      <c r="D912" s="10"/>
      <c r="E912" s="10"/>
      <c r="F912" s="10"/>
    </row>
    <row r="913">
      <c r="B913" s="17"/>
      <c r="C913" s="10"/>
      <c r="D913" s="10"/>
      <c r="E913" s="10"/>
      <c r="F913" s="10"/>
    </row>
    <row r="914">
      <c r="B914" s="17"/>
      <c r="C914" s="10"/>
      <c r="D914" s="10"/>
      <c r="E914" s="10"/>
      <c r="F914" s="10"/>
    </row>
    <row r="915">
      <c r="B915" s="17"/>
      <c r="C915" s="10"/>
      <c r="D915" s="10"/>
      <c r="E915" s="10"/>
      <c r="F915" s="10"/>
    </row>
    <row r="916">
      <c r="B916" s="17"/>
      <c r="C916" s="10"/>
      <c r="D916" s="10"/>
      <c r="E916" s="10"/>
      <c r="F916" s="10"/>
    </row>
    <row r="917">
      <c r="B917" s="17"/>
      <c r="C917" s="10"/>
      <c r="D917" s="10"/>
      <c r="E917" s="10"/>
      <c r="F917" s="10"/>
    </row>
    <row r="918">
      <c r="B918" s="17"/>
      <c r="C918" s="10"/>
      <c r="D918" s="10"/>
      <c r="E918" s="10"/>
      <c r="F918" s="10"/>
    </row>
    <row r="919">
      <c r="B919" s="17"/>
      <c r="C919" s="10"/>
      <c r="D919" s="10"/>
      <c r="E919" s="10"/>
      <c r="F919" s="10"/>
    </row>
    <row r="920">
      <c r="B920" s="17"/>
      <c r="C920" s="10"/>
      <c r="D920" s="10"/>
      <c r="E920" s="10"/>
      <c r="F920" s="10"/>
    </row>
    <row r="921">
      <c r="B921" s="17"/>
      <c r="C921" s="10"/>
      <c r="D921" s="10"/>
      <c r="E921" s="10"/>
      <c r="F921" s="10"/>
    </row>
    <row r="922">
      <c r="B922" s="17"/>
      <c r="C922" s="10"/>
      <c r="D922" s="10"/>
      <c r="E922" s="10"/>
      <c r="F922" s="10"/>
    </row>
    <row r="923">
      <c r="B923" s="17"/>
      <c r="C923" s="10"/>
      <c r="D923" s="10"/>
      <c r="E923" s="10"/>
      <c r="F923" s="10"/>
    </row>
    <row r="924">
      <c r="B924" s="17"/>
      <c r="C924" s="10"/>
      <c r="D924" s="10"/>
      <c r="E924" s="10"/>
      <c r="F924" s="10"/>
    </row>
    <row r="925">
      <c r="B925" s="17"/>
      <c r="C925" s="10"/>
      <c r="D925" s="10"/>
      <c r="E925" s="10"/>
      <c r="F925" s="10"/>
    </row>
    <row r="926">
      <c r="B926" s="17"/>
      <c r="C926" s="10"/>
      <c r="D926" s="10"/>
      <c r="E926" s="10"/>
      <c r="F926" s="10"/>
    </row>
    <row r="927">
      <c r="B927" s="17"/>
      <c r="C927" s="10"/>
      <c r="D927" s="10"/>
      <c r="E927" s="10"/>
      <c r="F927" s="10"/>
    </row>
    <row r="928">
      <c r="B928" s="17"/>
      <c r="C928" s="10"/>
      <c r="D928" s="10"/>
      <c r="E928" s="10"/>
      <c r="F928" s="10"/>
    </row>
    <row r="929">
      <c r="B929" s="17"/>
      <c r="C929" s="10"/>
      <c r="D929" s="10"/>
      <c r="E929" s="10"/>
      <c r="F929" s="10"/>
    </row>
    <row r="930">
      <c r="B930" s="17"/>
      <c r="C930" s="10"/>
      <c r="D930" s="10"/>
      <c r="E930" s="10"/>
      <c r="F930" s="10"/>
    </row>
    <row r="931">
      <c r="B931" s="17"/>
      <c r="C931" s="10"/>
      <c r="D931" s="10"/>
      <c r="E931" s="10"/>
      <c r="F931" s="10"/>
    </row>
    <row r="932">
      <c r="B932" s="17"/>
      <c r="C932" s="10"/>
      <c r="D932" s="10"/>
      <c r="E932" s="10"/>
      <c r="F932" s="10"/>
    </row>
    <row r="933">
      <c r="B933" s="17"/>
      <c r="C933" s="10"/>
      <c r="D933" s="10"/>
      <c r="E933" s="10"/>
      <c r="F933" s="10"/>
    </row>
    <row r="934">
      <c r="B934" s="17"/>
      <c r="C934" s="10"/>
      <c r="D934" s="10"/>
      <c r="E934" s="10"/>
      <c r="F934" s="10"/>
    </row>
    <row r="935">
      <c r="B935" s="17"/>
      <c r="C935" s="10"/>
      <c r="D935" s="10"/>
      <c r="E935" s="10"/>
      <c r="F935" s="10"/>
    </row>
    <row r="936">
      <c r="B936" s="17"/>
      <c r="C936" s="10"/>
      <c r="D936" s="10"/>
      <c r="E936" s="10"/>
      <c r="F936" s="10"/>
    </row>
    <row r="937">
      <c r="B937" s="17"/>
      <c r="C937" s="10"/>
      <c r="D937" s="10"/>
      <c r="E937" s="10"/>
      <c r="F937" s="10"/>
    </row>
    <row r="938">
      <c r="B938" s="17"/>
      <c r="C938" s="10"/>
      <c r="D938" s="10"/>
      <c r="E938" s="10"/>
      <c r="F938" s="10"/>
    </row>
    <row r="939">
      <c r="B939" s="17"/>
      <c r="C939" s="10"/>
      <c r="D939" s="10"/>
      <c r="E939" s="10"/>
      <c r="F939" s="10"/>
    </row>
    <row r="940">
      <c r="B940" s="17"/>
      <c r="C940" s="10"/>
      <c r="D940" s="10"/>
      <c r="E940" s="10"/>
      <c r="F940" s="10"/>
    </row>
    <row r="941">
      <c r="B941" s="17"/>
      <c r="C941" s="10"/>
      <c r="D941" s="10"/>
      <c r="E941" s="10"/>
      <c r="F941" s="10"/>
    </row>
    <row r="942">
      <c r="B942" s="17"/>
      <c r="C942" s="10"/>
      <c r="D942" s="10"/>
      <c r="E942" s="10"/>
      <c r="F942" s="10"/>
    </row>
    <row r="943">
      <c r="B943" s="17"/>
      <c r="C943" s="10"/>
      <c r="D943" s="10"/>
      <c r="E943" s="10"/>
      <c r="F943" s="10"/>
    </row>
    <row r="944">
      <c r="B944" s="17"/>
      <c r="C944" s="10"/>
      <c r="D944" s="10"/>
      <c r="E944" s="10"/>
      <c r="F944" s="10"/>
    </row>
    <row r="945">
      <c r="B945" s="17"/>
      <c r="C945" s="10"/>
      <c r="D945" s="10"/>
      <c r="E945" s="10"/>
      <c r="F945" s="10"/>
    </row>
    <row r="946">
      <c r="B946" s="17"/>
      <c r="C946" s="10"/>
      <c r="D946" s="10"/>
      <c r="E946" s="10"/>
      <c r="F946" s="10"/>
    </row>
    <row r="947">
      <c r="B947" s="17"/>
      <c r="C947" s="10"/>
      <c r="D947" s="10"/>
      <c r="E947" s="10"/>
      <c r="F947" s="10"/>
    </row>
    <row r="948">
      <c r="B948" s="17"/>
      <c r="C948" s="10"/>
      <c r="D948" s="10"/>
      <c r="E948" s="10"/>
      <c r="F948" s="10"/>
    </row>
    <row r="949">
      <c r="B949" s="17"/>
      <c r="C949" s="10"/>
      <c r="D949" s="10"/>
      <c r="E949" s="10"/>
      <c r="F949" s="10"/>
    </row>
    <row r="950">
      <c r="B950" s="17"/>
      <c r="C950" s="10"/>
      <c r="D950" s="10"/>
      <c r="E950" s="10"/>
      <c r="F950" s="10"/>
    </row>
    <row r="951">
      <c r="B951" s="17"/>
      <c r="C951" s="10"/>
      <c r="D951" s="10"/>
      <c r="E951" s="10"/>
      <c r="F951" s="10"/>
    </row>
    <row r="952">
      <c r="B952" s="17"/>
      <c r="C952" s="10"/>
      <c r="D952" s="10"/>
      <c r="E952" s="10"/>
      <c r="F952" s="10"/>
    </row>
    <row r="953">
      <c r="B953" s="17"/>
      <c r="C953" s="10"/>
      <c r="D953" s="10"/>
      <c r="E953" s="10"/>
      <c r="F953" s="10"/>
    </row>
    <row r="954">
      <c r="B954" s="17"/>
      <c r="C954" s="10"/>
      <c r="D954" s="10"/>
      <c r="E954" s="10"/>
      <c r="F954" s="10"/>
    </row>
    <row r="955">
      <c r="B955" s="17"/>
      <c r="C955" s="10"/>
      <c r="D955" s="10"/>
      <c r="E955" s="10"/>
      <c r="F955" s="10"/>
    </row>
    <row r="956">
      <c r="B956" s="17"/>
      <c r="C956" s="10"/>
      <c r="D956" s="10"/>
      <c r="E956" s="10"/>
      <c r="F956" s="10"/>
    </row>
    <row r="957">
      <c r="B957" s="17"/>
      <c r="C957" s="10"/>
      <c r="D957" s="10"/>
      <c r="E957" s="10"/>
      <c r="F957" s="10"/>
    </row>
    <row r="958">
      <c r="B958" s="17"/>
      <c r="C958" s="10"/>
      <c r="D958" s="10"/>
      <c r="E958" s="10"/>
      <c r="F958" s="10"/>
    </row>
    <row r="959">
      <c r="B959" s="17"/>
      <c r="C959" s="10"/>
      <c r="D959" s="10"/>
      <c r="E959" s="10"/>
      <c r="F959" s="10"/>
    </row>
    <row r="960">
      <c r="B960" s="17"/>
      <c r="C960" s="10"/>
      <c r="D960" s="10"/>
      <c r="E960" s="10"/>
      <c r="F960" s="10"/>
    </row>
    <row r="961">
      <c r="B961" s="17"/>
      <c r="C961" s="10"/>
      <c r="D961" s="10"/>
      <c r="E961" s="10"/>
      <c r="F961" s="10"/>
    </row>
    <row r="962">
      <c r="B962" s="17"/>
      <c r="C962" s="10"/>
      <c r="D962" s="10"/>
      <c r="E962" s="10"/>
      <c r="F962" s="10"/>
    </row>
    <row r="963">
      <c r="B963" s="17"/>
      <c r="C963" s="10"/>
      <c r="D963" s="10"/>
      <c r="E963" s="10"/>
      <c r="F963" s="10"/>
    </row>
    <row r="964">
      <c r="B964" s="17"/>
      <c r="C964" s="10"/>
      <c r="D964" s="10"/>
      <c r="E964" s="10"/>
      <c r="F964" s="10"/>
    </row>
    <row r="965">
      <c r="B965" s="17"/>
      <c r="C965" s="10"/>
      <c r="D965" s="10"/>
      <c r="E965" s="10"/>
      <c r="F965" s="10"/>
    </row>
    <row r="966">
      <c r="B966" s="17"/>
      <c r="C966" s="10"/>
      <c r="D966" s="10"/>
      <c r="E966" s="10"/>
      <c r="F966" s="10"/>
    </row>
    <row r="967">
      <c r="B967" s="17"/>
      <c r="C967" s="10"/>
      <c r="D967" s="10"/>
      <c r="E967" s="10"/>
      <c r="F967" s="10"/>
    </row>
    <row r="968">
      <c r="B968" s="17"/>
      <c r="C968" s="10"/>
      <c r="D968" s="10"/>
      <c r="E968" s="10"/>
      <c r="F968" s="10"/>
    </row>
    <row r="969">
      <c r="B969" s="17"/>
      <c r="C969" s="10"/>
      <c r="D969" s="10"/>
      <c r="E969" s="10"/>
      <c r="F969" s="10"/>
    </row>
    <row r="970">
      <c r="B970" s="17"/>
      <c r="C970" s="10"/>
      <c r="D970" s="10"/>
      <c r="E970" s="10"/>
      <c r="F970" s="10"/>
    </row>
    <row r="971">
      <c r="B971" s="17"/>
      <c r="C971" s="10"/>
      <c r="D971" s="10"/>
      <c r="E971" s="10"/>
      <c r="F971" s="10"/>
    </row>
    <row r="972">
      <c r="B972" s="17"/>
      <c r="C972" s="10"/>
      <c r="D972" s="10"/>
      <c r="E972" s="10"/>
      <c r="F972" s="10"/>
    </row>
    <row r="973">
      <c r="B973" s="17"/>
      <c r="C973" s="10"/>
      <c r="D973" s="10"/>
      <c r="E973" s="10"/>
      <c r="F973" s="10"/>
    </row>
    <row r="974">
      <c r="B974" s="17"/>
      <c r="C974" s="10"/>
      <c r="D974" s="10"/>
      <c r="E974" s="10"/>
      <c r="F974" s="10"/>
    </row>
    <row r="975">
      <c r="B975" s="17"/>
      <c r="C975" s="10"/>
      <c r="D975" s="10"/>
      <c r="E975" s="10"/>
      <c r="F975" s="10"/>
    </row>
    <row r="976">
      <c r="B976" s="17"/>
      <c r="C976" s="10"/>
      <c r="D976" s="10"/>
      <c r="E976" s="10"/>
      <c r="F976" s="10"/>
    </row>
    <row r="977">
      <c r="B977" s="17"/>
      <c r="C977" s="10"/>
      <c r="D977" s="10"/>
      <c r="E977" s="10"/>
      <c r="F977" s="10"/>
    </row>
    <row r="978">
      <c r="B978" s="17"/>
      <c r="C978" s="10"/>
      <c r="D978" s="10"/>
      <c r="E978" s="10"/>
      <c r="F978" s="10"/>
    </row>
    <row r="979">
      <c r="B979" s="17"/>
      <c r="C979" s="10"/>
      <c r="D979" s="10"/>
      <c r="E979" s="10"/>
      <c r="F979" s="10"/>
    </row>
    <row r="980">
      <c r="B980" s="17"/>
      <c r="C980" s="10"/>
      <c r="D980" s="10"/>
      <c r="E980" s="10"/>
      <c r="F980" s="10"/>
    </row>
    <row r="981">
      <c r="B981" s="17"/>
      <c r="C981" s="10"/>
      <c r="D981" s="10"/>
      <c r="E981" s="10"/>
      <c r="F981" s="10"/>
    </row>
    <row r="982">
      <c r="B982" s="17"/>
      <c r="C982" s="10"/>
      <c r="D982" s="10"/>
      <c r="E982" s="10"/>
      <c r="F982" s="10"/>
    </row>
    <row r="983">
      <c r="B983" s="17"/>
      <c r="C983" s="10"/>
      <c r="D983" s="10"/>
      <c r="E983" s="10"/>
      <c r="F983" s="10"/>
    </row>
    <row r="984">
      <c r="B984" s="17"/>
      <c r="C984" s="10"/>
      <c r="D984" s="10"/>
      <c r="E984" s="10"/>
      <c r="F984" s="10"/>
    </row>
    <row r="985">
      <c r="B985" s="17"/>
      <c r="C985" s="10"/>
      <c r="D985" s="10"/>
      <c r="E985" s="10"/>
      <c r="F985" s="10"/>
    </row>
    <row r="986">
      <c r="B986" s="17"/>
      <c r="C986" s="10"/>
      <c r="D986" s="10"/>
      <c r="E986" s="10"/>
      <c r="F986" s="10"/>
    </row>
    <row r="987">
      <c r="B987" s="17"/>
      <c r="C987" s="10"/>
      <c r="D987" s="10"/>
      <c r="E987" s="10"/>
      <c r="F987" s="10"/>
    </row>
    <row r="988">
      <c r="B988" s="17"/>
      <c r="C988" s="10"/>
      <c r="D988" s="10"/>
      <c r="E988" s="10"/>
      <c r="F988" s="10"/>
    </row>
    <row r="989">
      <c r="B989" s="17"/>
      <c r="C989" s="10"/>
      <c r="D989" s="10"/>
      <c r="E989" s="10"/>
      <c r="F989" s="10"/>
    </row>
    <row r="990">
      <c r="B990" s="17"/>
      <c r="C990" s="10"/>
      <c r="D990" s="10"/>
      <c r="E990" s="10"/>
      <c r="F990" s="10"/>
    </row>
    <row r="991">
      <c r="B991" s="17"/>
      <c r="C991" s="10"/>
      <c r="D991" s="10"/>
      <c r="E991" s="10"/>
      <c r="F991" s="10"/>
    </row>
    <row r="992">
      <c r="B992" s="17"/>
      <c r="C992" s="10"/>
      <c r="D992" s="10"/>
      <c r="E992" s="10"/>
      <c r="F992" s="10"/>
    </row>
    <row r="993">
      <c r="B993" s="17"/>
      <c r="C993" s="10"/>
      <c r="D993" s="10"/>
      <c r="E993" s="10"/>
      <c r="F993" s="10"/>
    </row>
    <row r="994">
      <c r="B994" s="17"/>
      <c r="C994" s="10"/>
      <c r="D994" s="10"/>
      <c r="E994" s="10"/>
      <c r="F994" s="10"/>
    </row>
    <row r="995">
      <c r="B995" s="17"/>
      <c r="C995" s="10"/>
      <c r="D995" s="10"/>
      <c r="E995" s="10"/>
      <c r="F995" s="10"/>
    </row>
    <row r="996">
      <c r="B996" s="17"/>
      <c r="C996" s="10"/>
      <c r="D996" s="10"/>
      <c r="E996" s="10"/>
      <c r="F996" s="10"/>
    </row>
    <row r="997">
      <c r="B997" s="17"/>
      <c r="C997" s="10"/>
      <c r="D997" s="10"/>
      <c r="E997" s="10"/>
      <c r="F997" s="10"/>
    </row>
    <row r="998">
      <c r="B998" s="17"/>
      <c r="C998" s="10"/>
      <c r="D998" s="10"/>
      <c r="E998" s="10"/>
      <c r="F998" s="10"/>
    </row>
    <row r="999">
      <c r="B999" s="17"/>
      <c r="C999" s="10"/>
      <c r="D999" s="10"/>
      <c r="E999" s="10"/>
      <c r="F999" s="10"/>
    </row>
    <row r="1000">
      <c r="B1000" s="17"/>
      <c r="C1000" s="10"/>
      <c r="D1000" s="10"/>
      <c r="E1000" s="10"/>
      <c r="F1000" s="10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9.5"/>
    <col customWidth="1" min="8" max="8" width="15.75"/>
    <col customWidth="1" min="9" max="9" width="17.0"/>
  </cols>
  <sheetData>
    <row r="1">
      <c r="A1" s="247" t="s">
        <v>3</v>
      </c>
      <c r="B1" s="247" t="s">
        <v>4</v>
      </c>
      <c r="C1" s="247" t="s">
        <v>5</v>
      </c>
      <c r="D1" s="247" t="s">
        <v>6</v>
      </c>
      <c r="E1" s="247" t="s">
        <v>7</v>
      </c>
      <c r="G1" s="252" t="s">
        <v>305</v>
      </c>
      <c r="H1" s="254"/>
      <c r="I1" s="255"/>
    </row>
    <row r="2">
      <c r="A2" s="11">
        <v>46248.0</v>
      </c>
      <c r="B2" s="12" t="s">
        <v>22</v>
      </c>
      <c r="C2" s="12" t="s">
        <v>306</v>
      </c>
      <c r="D2" s="13">
        <v>300000.0</v>
      </c>
      <c r="G2" s="257" t="s">
        <v>1</v>
      </c>
      <c r="H2" s="258" t="s">
        <v>15</v>
      </c>
      <c r="I2" s="259"/>
    </row>
    <row r="3">
      <c r="A3" s="14">
        <v>46248.0</v>
      </c>
      <c r="B3" s="15" t="s">
        <v>22</v>
      </c>
      <c r="C3" s="15" t="s">
        <v>309</v>
      </c>
      <c r="D3" s="16">
        <v>300000.0</v>
      </c>
    </row>
    <row r="4">
      <c r="A4" s="11">
        <v>46248.0</v>
      </c>
      <c r="B4" s="12" t="s">
        <v>22</v>
      </c>
      <c r="C4" s="12" t="s">
        <v>310</v>
      </c>
      <c r="D4" s="13">
        <v>300000.0</v>
      </c>
      <c r="G4" s="260" t="s">
        <v>2</v>
      </c>
      <c r="H4" s="261">
        <f>IF(OR(H2="Semua Kategori", H2=""), SUM(D2:D934), SUMIF(B2:B934, H2, D2:D934))</f>
        <v>2545000</v>
      </c>
      <c r="I4" s="262"/>
    </row>
    <row r="5">
      <c r="A5" s="14">
        <v>46248.0</v>
      </c>
      <c r="B5" s="15" t="s">
        <v>22</v>
      </c>
      <c r="C5" s="15" t="s">
        <v>311</v>
      </c>
      <c r="D5" s="16">
        <v>213664.0</v>
      </c>
      <c r="G5" s="263" t="s">
        <v>312</v>
      </c>
      <c r="H5" s="265">
        <f>IF(OR(H2="Semua Kategori", H2=""), COUNT(D2:D934), COUNTIF(B2:B934, H2))</f>
        <v>3</v>
      </c>
      <c r="I5" s="267"/>
    </row>
    <row r="6">
      <c r="A6" s="11">
        <v>46248.0</v>
      </c>
      <c r="B6" s="12" t="s">
        <v>22</v>
      </c>
      <c r="C6" s="12" t="s">
        <v>139</v>
      </c>
      <c r="D6" s="13">
        <v>617000.0</v>
      </c>
      <c r="G6" s="263" t="s">
        <v>317</v>
      </c>
      <c r="H6" s="273">
        <f>IFERROR(H4/H5, 0)</f>
        <v>848333.3333</v>
      </c>
      <c r="I6" s="267"/>
    </row>
    <row r="7">
      <c r="A7" s="14">
        <v>46248.0</v>
      </c>
      <c r="B7" s="15" t="s">
        <v>22</v>
      </c>
      <c r="C7" s="15" t="s">
        <v>320</v>
      </c>
      <c r="D7" s="16">
        <v>401500.0</v>
      </c>
      <c r="G7" s="263" t="s">
        <v>321</v>
      </c>
      <c r="H7" s="277">
        <f>IFERROR(H4/SUM(D2:D934), 0)</f>
        <v>0.05920343305</v>
      </c>
      <c r="I7" s="267"/>
    </row>
    <row r="8">
      <c r="A8" s="11">
        <v>46248.0</v>
      </c>
      <c r="B8" s="12" t="s">
        <v>22</v>
      </c>
      <c r="C8" s="12" t="s">
        <v>23</v>
      </c>
      <c r="D8" s="13">
        <v>16000.0</v>
      </c>
      <c r="G8" s="279" t="s">
        <v>322</v>
      </c>
      <c r="H8" s="281">
        <f>SUM(D2:D934)</f>
        <v>42987372</v>
      </c>
      <c r="I8" s="283"/>
    </row>
    <row r="9">
      <c r="A9" s="14">
        <v>46248.0</v>
      </c>
      <c r="B9" s="15" t="s">
        <v>22</v>
      </c>
      <c r="C9" s="15" t="s">
        <v>79</v>
      </c>
      <c r="D9" s="16">
        <v>36000.0</v>
      </c>
    </row>
    <row r="10">
      <c r="A10" s="11">
        <v>46248.0</v>
      </c>
      <c r="B10" s="12" t="s">
        <v>22</v>
      </c>
      <c r="C10" s="12" t="s">
        <v>133</v>
      </c>
      <c r="D10" s="13">
        <v>120000.0</v>
      </c>
    </row>
    <row r="11">
      <c r="A11" s="14">
        <v>46248.0</v>
      </c>
      <c r="B11" s="15" t="s">
        <v>22</v>
      </c>
      <c r="C11" s="15" t="s">
        <v>325</v>
      </c>
      <c r="D11" s="16">
        <v>41000.0</v>
      </c>
      <c r="G11" s="287" t="s">
        <v>4</v>
      </c>
      <c r="H11" s="289" t="s">
        <v>312</v>
      </c>
      <c r="I11" s="291" t="s">
        <v>2</v>
      </c>
    </row>
    <row r="12">
      <c r="A12" s="11">
        <v>46248.0</v>
      </c>
      <c r="B12" s="12" t="s">
        <v>22</v>
      </c>
      <c r="C12" s="12" t="s">
        <v>328</v>
      </c>
      <c r="D12" s="13">
        <v>27000.0</v>
      </c>
      <c r="G12" s="295" t="s">
        <v>22</v>
      </c>
      <c r="H12" s="299">
        <f t="shared" ref="H12:H18" si="1">COUNTIF(B:B, G12)</f>
        <v>130</v>
      </c>
      <c r="I12" s="302">
        <f t="shared" ref="I12:I18" si="2">SUMIF(B:B, G12, D:D)</f>
        <v>12328072</v>
      </c>
    </row>
    <row r="13">
      <c r="A13" s="14">
        <v>46248.0</v>
      </c>
      <c r="B13" s="15" t="s">
        <v>22</v>
      </c>
      <c r="C13" s="15" t="s">
        <v>335</v>
      </c>
      <c r="D13" s="16">
        <v>49000.0</v>
      </c>
      <c r="G13" s="306" t="s">
        <v>15</v>
      </c>
      <c r="H13" s="308">
        <f t="shared" si="1"/>
        <v>3</v>
      </c>
      <c r="I13" s="309">
        <f t="shared" si="2"/>
        <v>2545000</v>
      </c>
    </row>
    <row r="14">
      <c r="A14" s="11">
        <v>46248.0</v>
      </c>
      <c r="B14" s="12" t="s">
        <v>22</v>
      </c>
      <c r="C14" s="12" t="s">
        <v>66</v>
      </c>
      <c r="D14" s="13">
        <v>30000.0</v>
      </c>
      <c r="G14" s="295" t="s">
        <v>27</v>
      </c>
      <c r="H14" s="299">
        <f t="shared" si="1"/>
        <v>29</v>
      </c>
      <c r="I14" s="302">
        <f t="shared" si="2"/>
        <v>3614500</v>
      </c>
    </row>
    <row r="15">
      <c r="A15" s="14">
        <v>46248.0</v>
      </c>
      <c r="B15" s="15" t="s">
        <v>22</v>
      </c>
      <c r="C15" s="15" t="s">
        <v>337</v>
      </c>
      <c r="D15" s="16">
        <v>5000.0</v>
      </c>
      <c r="G15" s="306" t="s">
        <v>50</v>
      </c>
      <c r="H15" s="308">
        <f t="shared" si="1"/>
        <v>3</v>
      </c>
      <c r="I15" s="309">
        <f t="shared" si="2"/>
        <v>801000</v>
      </c>
    </row>
    <row r="16">
      <c r="A16" s="11">
        <v>46248.0</v>
      </c>
      <c r="B16" s="12" t="s">
        <v>40</v>
      </c>
      <c r="C16" s="12" t="s">
        <v>340</v>
      </c>
      <c r="D16" s="13">
        <v>35000.0</v>
      </c>
      <c r="G16" s="295" t="s">
        <v>40</v>
      </c>
      <c r="H16" s="299">
        <f t="shared" si="1"/>
        <v>10</v>
      </c>
      <c r="I16" s="302">
        <f t="shared" si="2"/>
        <v>656800</v>
      </c>
    </row>
    <row r="17">
      <c r="A17" s="14">
        <v>46248.0</v>
      </c>
      <c r="B17" s="15" t="s">
        <v>27</v>
      </c>
      <c r="C17" s="15" t="s">
        <v>341</v>
      </c>
      <c r="D17" s="16">
        <v>410000.0</v>
      </c>
      <c r="G17" s="306" t="s">
        <v>47</v>
      </c>
      <c r="H17" s="308">
        <f t="shared" si="1"/>
        <v>26</v>
      </c>
      <c r="I17" s="309">
        <f t="shared" si="2"/>
        <v>10172000</v>
      </c>
    </row>
    <row r="18">
      <c r="A18" s="11">
        <v>46248.0</v>
      </c>
      <c r="B18" s="12" t="s">
        <v>40</v>
      </c>
      <c r="C18" s="12" t="s">
        <v>342</v>
      </c>
      <c r="D18" s="13">
        <v>52000.0</v>
      </c>
      <c r="G18" s="315" t="s">
        <v>343</v>
      </c>
      <c r="H18" s="316">
        <f t="shared" si="1"/>
        <v>5</v>
      </c>
      <c r="I18" s="317">
        <f t="shared" si="2"/>
        <v>3870000</v>
      </c>
    </row>
    <row r="19">
      <c r="A19" s="14">
        <v>46248.0</v>
      </c>
      <c r="B19" s="15" t="s">
        <v>40</v>
      </c>
      <c r="C19" s="15" t="s">
        <v>347</v>
      </c>
      <c r="D19" s="16">
        <v>29000.0</v>
      </c>
      <c r="G19" s="319" t="s">
        <v>348</v>
      </c>
      <c r="H19" s="320">
        <f t="shared" ref="H19:I19" si="3">SUM(H12:H18)</f>
        <v>206</v>
      </c>
      <c r="I19" s="321">
        <f t="shared" si="3"/>
        <v>33987372</v>
      </c>
    </row>
    <row r="20">
      <c r="A20" s="11">
        <v>46248.0</v>
      </c>
      <c r="B20" s="12" t="s">
        <v>40</v>
      </c>
      <c r="C20" s="12" t="s">
        <v>349</v>
      </c>
      <c r="D20" s="13">
        <v>450000.0</v>
      </c>
    </row>
    <row r="21">
      <c r="A21" s="14">
        <v>46248.0</v>
      </c>
      <c r="B21" s="15" t="s">
        <v>22</v>
      </c>
      <c r="C21" s="15" t="s">
        <v>350</v>
      </c>
      <c r="D21" s="16">
        <v>220000.0</v>
      </c>
    </row>
    <row r="22">
      <c r="A22" s="11">
        <v>46248.0</v>
      </c>
      <c r="B22" s="12" t="s">
        <v>22</v>
      </c>
      <c r="C22" s="12" t="s">
        <v>351</v>
      </c>
      <c r="D22" s="13">
        <v>145000.0</v>
      </c>
    </row>
    <row r="23">
      <c r="A23" s="14">
        <v>46248.0</v>
      </c>
      <c r="B23" s="15" t="s">
        <v>22</v>
      </c>
      <c r="C23" s="15" t="s">
        <v>352</v>
      </c>
      <c r="D23" s="16">
        <v>117000.0</v>
      </c>
    </row>
    <row r="24">
      <c r="A24" s="11">
        <v>46248.0</v>
      </c>
      <c r="B24" s="12" t="s">
        <v>22</v>
      </c>
      <c r="C24" s="12" t="s">
        <v>82</v>
      </c>
      <c r="D24" s="13">
        <v>48000.0</v>
      </c>
    </row>
    <row r="25">
      <c r="A25" s="14">
        <v>46248.0</v>
      </c>
      <c r="B25" s="15" t="s">
        <v>27</v>
      </c>
      <c r="C25" s="15" t="s">
        <v>353</v>
      </c>
      <c r="D25" s="16">
        <v>18000.0</v>
      </c>
    </row>
    <row r="26">
      <c r="A26" s="11">
        <v>46248.0</v>
      </c>
      <c r="B26" s="12" t="s">
        <v>22</v>
      </c>
      <c r="C26" s="12" t="s">
        <v>68</v>
      </c>
      <c r="D26" s="13">
        <v>26000.0</v>
      </c>
    </row>
    <row r="27">
      <c r="A27" s="14">
        <v>46248.0</v>
      </c>
      <c r="B27" s="15" t="s">
        <v>22</v>
      </c>
      <c r="C27" s="15" t="s">
        <v>97</v>
      </c>
      <c r="D27" s="16">
        <v>47000.0</v>
      </c>
    </row>
    <row r="28">
      <c r="A28" s="11">
        <v>46248.0</v>
      </c>
      <c r="B28" s="12" t="s">
        <v>22</v>
      </c>
      <c r="C28" s="12" t="s">
        <v>56</v>
      </c>
      <c r="D28" s="13">
        <v>132000.0</v>
      </c>
    </row>
    <row r="29">
      <c r="A29" s="14">
        <v>46248.0</v>
      </c>
      <c r="B29" s="15" t="s">
        <v>22</v>
      </c>
      <c r="C29" s="15" t="s">
        <v>355</v>
      </c>
      <c r="D29" s="16">
        <v>23500.0</v>
      </c>
    </row>
    <row r="30">
      <c r="A30" s="11">
        <v>46248.0</v>
      </c>
      <c r="B30" s="12" t="s">
        <v>22</v>
      </c>
      <c r="C30" s="12" t="s">
        <v>129</v>
      </c>
      <c r="D30" s="13">
        <v>70500.0</v>
      </c>
    </row>
    <row r="31">
      <c r="A31" s="14">
        <v>46248.0</v>
      </c>
      <c r="B31" s="15" t="s">
        <v>22</v>
      </c>
      <c r="C31" s="15" t="s">
        <v>356</v>
      </c>
      <c r="D31" s="16">
        <v>36000.0</v>
      </c>
    </row>
    <row r="32">
      <c r="A32" s="11">
        <v>46248.0</v>
      </c>
      <c r="B32" s="12" t="s">
        <v>22</v>
      </c>
      <c r="C32" s="12" t="s">
        <v>357</v>
      </c>
      <c r="D32" s="13">
        <v>9000.0</v>
      </c>
    </row>
    <row r="33">
      <c r="A33" s="14">
        <v>46248.0</v>
      </c>
      <c r="B33" s="15" t="s">
        <v>40</v>
      </c>
      <c r="C33" s="15" t="s">
        <v>358</v>
      </c>
      <c r="D33" s="16">
        <v>7000.0</v>
      </c>
    </row>
    <row r="34">
      <c r="A34" s="11">
        <v>46248.0</v>
      </c>
      <c r="B34" s="12" t="s">
        <v>15</v>
      </c>
      <c r="C34" s="12" t="s">
        <v>359</v>
      </c>
      <c r="D34" s="13">
        <v>2000000.0</v>
      </c>
    </row>
    <row r="35">
      <c r="A35" s="14">
        <v>46248.0</v>
      </c>
      <c r="B35" s="15" t="s">
        <v>22</v>
      </c>
      <c r="C35" s="15" t="s">
        <v>360</v>
      </c>
      <c r="D35" s="16">
        <v>447000.0</v>
      </c>
    </row>
    <row r="36">
      <c r="A36" s="11">
        <v>46248.0</v>
      </c>
      <c r="B36" s="12" t="s">
        <v>22</v>
      </c>
      <c r="C36" s="12" t="s">
        <v>361</v>
      </c>
      <c r="D36" s="13">
        <v>197000.0</v>
      </c>
    </row>
    <row r="37">
      <c r="A37" s="14">
        <v>46248.0</v>
      </c>
      <c r="B37" s="15" t="s">
        <v>22</v>
      </c>
      <c r="C37" s="15" t="s">
        <v>362</v>
      </c>
      <c r="D37" s="16">
        <v>132000.0</v>
      </c>
    </row>
    <row r="38">
      <c r="A38" s="11"/>
      <c r="B38" s="12"/>
      <c r="C38" s="12"/>
      <c r="D38" s="13"/>
    </row>
    <row r="39">
      <c r="A39" s="14">
        <v>46248.0</v>
      </c>
      <c r="B39" s="15" t="s">
        <v>40</v>
      </c>
      <c r="C39" s="15" t="s">
        <v>363</v>
      </c>
      <c r="D39" s="16">
        <v>28000.0</v>
      </c>
    </row>
    <row r="40">
      <c r="A40" s="11">
        <v>46248.0</v>
      </c>
      <c r="B40" s="12" t="s">
        <v>22</v>
      </c>
      <c r="C40" s="12" t="s">
        <v>364</v>
      </c>
      <c r="D40" s="13">
        <v>42000.0</v>
      </c>
    </row>
    <row r="41">
      <c r="A41" s="14">
        <v>46248.0</v>
      </c>
      <c r="B41" s="15" t="s">
        <v>22</v>
      </c>
      <c r="C41" s="15" t="s">
        <v>366</v>
      </c>
      <c r="D41" s="16">
        <v>46000.0</v>
      </c>
    </row>
    <row r="42">
      <c r="A42" s="11">
        <v>46248.0</v>
      </c>
      <c r="B42" s="12" t="s">
        <v>50</v>
      </c>
      <c r="C42" s="12" t="s">
        <v>51</v>
      </c>
      <c r="D42" s="13">
        <v>400000.0</v>
      </c>
    </row>
    <row r="43">
      <c r="A43" s="14">
        <v>46248.0</v>
      </c>
      <c r="B43" s="15" t="s">
        <v>50</v>
      </c>
      <c r="C43" s="15" t="s">
        <v>367</v>
      </c>
      <c r="D43" s="16">
        <v>51000.0</v>
      </c>
    </row>
    <row r="44">
      <c r="A44" s="11">
        <v>46248.0</v>
      </c>
      <c r="B44" s="12" t="s">
        <v>27</v>
      </c>
      <c r="C44" s="12" t="s">
        <v>368</v>
      </c>
      <c r="D44" s="13">
        <v>400000.0</v>
      </c>
    </row>
    <row r="45">
      <c r="A45" s="14">
        <v>46248.0</v>
      </c>
      <c r="B45" s="15" t="s">
        <v>22</v>
      </c>
      <c r="C45" s="15" t="s">
        <v>370</v>
      </c>
      <c r="D45" s="16">
        <v>14500.0</v>
      </c>
    </row>
    <row r="46">
      <c r="A46" s="11">
        <v>46248.0</v>
      </c>
      <c r="B46" s="12" t="s">
        <v>40</v>
      </c>
      <c r="C46" s="12" t="s">
        <v>372</v>
      </c>
      <c r="D46" s="13">
        <v>18000.0</v>
      </c>
    </row>
    <row r="47">
      <c r="A47" s="14">
        <v>46249.0</v>
      </c>
      <c r="B47" s="15" t="s">
        <v>47</v>
      </c>
      <c r="C47" s="15" t="s">
        <v>47</v>
      </c>
      <c r="D47" s="16">
        <v>620000.0</v>
      </c>
    </row>
    <row r="48">
      <c r="A48" s="11">
        <v>46249.0</v>
      </c>
      <c r="B48" s="12" t="s">
        <v>22</v>
      </c>
      <c r="C48" s="12" t="s">
        <v>376</v>
      </c>
      <c r="D48" s="13">
        <v>143500.0</v>
      </c>
    </row>
    <row r="49">
      <c r="A49" s="14">
        <v>46249.0</v>
      </c>
      <c r="B49" s="15" t="s">
        <v>22</v>
      </c>
      <c r="C49" s="15" t="s">
        <v>378</v>
      </c>
      <c r="D49" s="16">
        <v>38500.0</v>
      </c>
    </row>
    <row r="50">
      <c r="A50" s="11">
        <v>46249.0</v>
      </c>
      <c r="B50" s="12" t="s">
        <v>40</v>
      </c>
      <c r="C50" s="12" t="s">
        <v>379</v>
      </c>
      <c r="D50" s="13">
        <v>16800.0</v>
      </c>
    </row>
    <row r="51">
      <c r="A51" s="14">
        <v>46249.0</v>
      </c>
      <c r="B51" s="15" t="s">
        <v>22</v>
      </c>
      <c r="C51" s="15" t="s">
        <v>133</v>
      </c>
      <c r="D51" s="16">
        <v>60000.0</v>
      </c>
    </row>
    <row r="52">
      <c r="A52" s="11">
        <v>46249.0</v>
      </c>
      <c r="B52" s="12" t="s">
        <v>22</v>
      </c>
      <c r="C52" s="12" t="s">
        <v>380</v>
      </c>
      <c r="D52" s="13">
        <v>32000.0</v>
      </c>
    </row>
    <row r="53">
      <c r="A53" s="14">
        <v>46249.0</v>
      </c>
      <c r="B53" s="15" t="s">
        <v>22</v>
      </c>
      <c r="C53" s="15" t="s">
        <v>350</v>
      </c>
      <c r="D53" s="16">
        <v>83000.0</v>
      </c>
    </row>
    <row r="54">
      <c r="A54" s="11">
        <v>46249.0</v>
      </c>
      <c r="B54" s="12" t="s">
        <v>22</v>
      </c>
      <c r="C54" s="12" t="s">
        <v>381</v>
      </c>
      <c r="D54" s="13">
        <v>119000.0</v>
      </c>
    </row>
    <row r="55">
      <c r="A55" s="14">
        <v>46249.0</v>
      </c>
      <c r="B55" s="15" t="s">
        <v>22</v>
      </c>
      <c r="C55" s="15" t="s">
        <v>382</v>
      </c>
      <c r="D55" s="16">
        <v>25000.0</v>
      </c>
    </row>
    <row r="56">
      <c r="A56" s="11">
        <v>46249.0</v>
      </c>
      <c r="B56" s="12" t="s">
        <v>22</v>
      </c>
      <c r="C56" s="12" t="s">
        <v>383</v>
      </c>
      <c r="D56" s="13">
        <v>23000.0</v>
      </c>
    </row>
    <row r="57">
      <c r="A57" s="14">
        <v>46249.0</v>
      </c>
      <c r="B57" s="15" t="s">
        <v>22</v>
      </c>
      <c r="C57" s="15" t="s">
        <v>23</v>
      </c>
      <c r="D57" s="16">
        <v>5000.0</v>
      </c>
    </row>
    <row r="58">
      <c r="A58" s="11">
        <v>46249.0</v>
      </c>
      <c r="B58" s="12" t="s">
        <v>47</v>
      </c>
      <c r="C58" s="12" t="s">
        <v>47</v>
      </c>
      <c r="D58" s="13">
        <v>50000.0</v>
      </c>
    </row>
    <row r="59">
      <c r="A59" s="14">
        <v>46249.0</v>
      </c>
      <c r="B59" s="15" t="s">
        <v>27</v>
      </c>
      <c r="C59" s="15" t="s">
        <v>341</v>
      </c>
      <c r="D59" s="16">
        <v>65000.0</v>
      </c>
    </row>
    <row r="60">
      <c r="A60" s="11">
        <v>46250.0</v>
      </c>
      <c r="B60" s="12" t="s">
        <v>15</v>
      </c>
      <c r="C60" s="12" t="s">
        <v>386</v>
      </c>
      <c r="D60" s="13">
        <v>125000.0</v>
      </c>
    </row>
    <row r="61">
      <c r="A61" s="14">
        <v>46250.0</v>
      </c>
      <c r="B61" s="15" t="s">
        <v>22</v>
      </c>
      <c r="C61" s="15" t="s">
        <v>387</v>
      </c>
      <c r="D61" s="16">
        <v>759822.0</v>
      </c>
    </row>
    <row r="62">
      <c r="A62" s="11">
        <v>46250.0</v>
      </c>
      <c r="B62" s="12" t="s">
        <v>22</v>
      </c>
      <c r="C62" s="12" t="s">
        <v>389</v>
      </c>
      <c r="D62" s="13">
        <v>891586.0</v>
      </c>
    </row>
    <row r="63">
      <c r="A63" s="14">
        <v>46250.0</v>
      </c>
      <c r="B63" s="15" t="s">
        <v>47</v>
      </c>
      <c r="C63" s="15" t="s">
        <v>47</v>
      </c>
      <c r="D63" s="16">
        <v>116000.0</v>
      </c>
    </row>
    <row r="64">
      <c r="A64" s="11">
        <v>46250.0</v>
      </c>
      <c r="B64" s="12" t="s">
        <v>22</v>
      </c>
      <c r="C64" s="12" t="s">
        <v>133</v>
      </c>
      <c r="D64" s="13">
        <v>52500.0</v>
      </c>
    </row>
    <row r="65">
      <c r="A65" s="14">
        <v>46250.0</v>
      </c>
      <c r="B65" s="15" t="s">
        <v>22</v>
      </c>
      <c r="C65" s="15" t="s">
        <v>129</v>
      </c>
      <c r="D65" s="16">
        <v>35000.0</v>
      </c>
    </row>
    <row r="66">
      <c r="A66" s="11">
        <v>46250.0</v>
      </c>
      <c r="B66" s="12" t="s">
        <v>22</v>
      </c>
      <c r="C66" s="12" t="s">
        <v>139</v>
      </c>
      <c r="D66" s="13">
        <v>89000.0</v>
      </c>
    </row>
    <row r="67">
      <c r="A67" s="14">
        <v>46250.0</v>
      </c>
      <c r="B67" s="15" t="s">
        <v>22</v>
      </c>
      <c r="C67" s="15" t="s">
        <v>53</v>
      </c>
      <c r="D67" s="16">
        <v>60000.0</v>
      </c>
    </row>
    <row r="68">
      <c r="A68" s="11">
        <v>46250.0</v>
      </c>
      <c r="B68" s="12" t="s">
        <v>22</v>
      </c>
      <c r="C68" s="12" t="s">
        <v>31</v>
      </c>
      <c r="D68" s="13">
        <v>84000.0</v>
      </c>
    </row>
    <row r="69">
      <c r="A69" s="14">
        <v>46250.0</v>
      </c>
      <c r="B69" s="15" t="s">
        <v>22</v>
      </c>
      <c r="C69" s="15" t="s">
        <v>97</v>
      </c>
      <c r="D69" s="16">
        <v>27000.0</v>
      </c>
    </row>
    <row r="70">
      <c r="A70" s="11">
        <v>46250.0</v>
      </c>
      <c r="B70" s="12" t="s">
        <v>22</v>
      </c>
      <c r="C70" s="12" t="s">
        <v>398</v>
      </c>
      <c r="D70" s="13">
        <v>5000.0</v>
      </c>
    </row>
    <row r="71">
      <c r="A71" s="14">
        <v>46250.0</v>
      </c>
      <c r="B71" s="15" t="s">
        <v>22</v>
      </c>
      <c r="C71" s="15" t="s">
        <v>399</v>
      </c>
      <c r="D71" s="16">
        <v>5000.0</v>
      </c>
    </row>
    <row r="72">
      <c r="A72" s="11">
        <v>46250.0</v>
      </c>
      <c r="B72" s="12" t="s">
        <v>22</v>
      </c>
      <c r="C72" s="12" t="s">
        <v>400</v>
      </c>
      <c r="D72" s="13">
        <v>5000.0</v>
      </c>
    </row>
    <row r="73">
      <c r="A73" s="14">
        <v>46250.0</v>
      </c>
      <c r="B73" s="15" t="s">
        <v>22</v>
      </c>
      <c r="C73" s="15" t="s">
        <v>68</v>
      </c>
      <c r="D73" s="16">
        <v>46000.0</v>
      </c>
    </row>
    <row r="74">
      <c r="A74" s="11">
        <v>46250.0</v>
      </c>
      <c r="B74" s="12" t="s">
        <v>22</v>
      </c>
      <c r="C74" s="12" t="s">
        <v>54</v>
      </c>
      <c r="D74" s="13">
        <v>6000.0</v>
      </c>
    </row>
    <row r="75">
      <c r="A75" s="14">
        <v>46250.0</v>
      </c>
      <c r="B75" s="15" t="s">
        <v>22</v>
      </c>
      <c r="C75" s="15" t="s">
        <v>70</v>
      </c>
      <c r="D75" s="16">
        <v>8000.0</v>
      </c>
    </row>
    <row r="76">
      <c r="A76" s="11">
        <v>46250.0</v>
      </c>
      <c r="B76" s="12" t="s">
        <v>22</v>
      </c>
      <c r="C76" s="12" t="s">
        <v>23</v>
      </c>
      <c r="D76" s="13">
        <v>5000.0</v>
      </c>
    </row>
    <row r="77">
      <c r="A77" s="14">
        <v>46250.0</v>
      </c>
      <c r="B77" s="15" t="s">
        <v>22</v>
      </c>
      <c r="C77" s="15" t="s">
        <v>401</v>
      </c>
      <c r="D77" s="16">
        <v>20000.0</v>
      </c>
    </row>
    <row r="78">
      <c r="A78" s="11">
        <v>46250.0</v>
      </c>
      <c r="B78" s="12" t="s">
        <v>22</v>
      </c>
      <c r="C78" s="12" t="s">
        <v>109</v>
      </c>
      <c r="D78" s="13">
        <v>21000.0</v>
      </c>
    </row>
    <row r="79">
      <c r="A79" s="14"/>
      <c r="B79" s="15"/>
      <c r="C79" s="15"/>
      <c r="D79" s="16"/>
    </row>
    <row r="80">
      <c r="A80" s="11">
        <v>46251.0</v>
      </c>
      <c r="B80" s="12" t="s">
        <v>27</v>
      </c>
      <c r="C80" s="12" t="s">
        <v>38</v>
      </c>
      <c r="D80" s="13">
        <v>400000.0</v>
      </c>
    </row>
    <row r="81">
      <c r="A81" s="14">
        <v>46251.0</v>
      </c>
      <c r="B81" s="15" t="s">
        <v>22</v>
      </c>
      <c r="C81" s="15" t="s">
        <v>31</v>
      </c>
      <c r="D81" s="16">
        <v>42000.0</v>
      </c>
    </row>
    <row r="82">
      <c r="A82" s="11">
        <v>46251.0</v>
      </c>
      <c r="B82" s="12" t="s">
        <v>22</v>
      </c>
      <c r="C82" s="12" t="s">
        <v>402</v>
      </c>
      <c r="D82" s="13">
        <v>25000.0</v>
      </c>
    </row>
    <row r="83">
      <c r="A83" s="14">
        <v>46251.0</v>
      </c>
      <c r="B83" s="15" t="s">
        <v>22</v>
      </c>
      <c r="C83" s="15" t="s">
        <v>403</v>
      </c>
      <c r="D83" s="16">
        <v>349000.0</v>
      </c>
    </row>
    <row r="84">
      <c r="A84" s="11">
        <v>46251.0</v>
      </c>
      <c r="B84" s="12" t="s">
        <v>22</v>
      </c>
      <c r="C84" s="12" t="s">
        <v>404</v>
      </c>
      <c r="D84" s="13">
        <v>62000.0</v>
      </c>
    </row>
    <row r="85">
      <c r="A85" s="352"/>
      <c r="B85" s="353"/>
      <c r="C85" s="353"/>
      <c r="D85" s="354"/>
    </row>
    <row r="86">
      <c r="A86" s="11">
        <v>46252.0</v>
      </c>
      <c r="B86" s="12" t="s">
        <v>22</v>
      </c>
      <c r="C86" s="12" t="s">
        <v>376</v>
      </c>
      <c r="D86" s="13">
        <v>51000.0</v>
      </c>
    </row>
    <row r="87">
      <c r="A87" s="14">
        <v>46252.0</v>
      </c>
      <c r="B87" s="15" t="s">
        <v>27</v>
      </c>
      <c r="C87" s="15" t="s">
        <v>341</v>
      </c>
      <c r="D87" s="16">
        <v>195000.0</v>
      </c>
    </row>
    <row r="88">
      <c r="A88" s="11">
        <v>46252.0</v>
      </c>
      <c r="B88" s="12" t="s">
        <v>22</v>
      </c>
      <c r="C88" s="12" t="s">
        <v>405</v>
      </c>
      <c r="D88" s="13">
        <v>23000.0</v>
      </c>
    </row>
    <row r="89">
      <c r="A89" s="14">
        <v>46252.0</v>
      </c>
      <c r="B89" s="15" t="s">
        <v>47</v>
      </c>
      <c r="C89" s="15" t="s">
        <v>47</v>
      </c>
      <c r="D89" s="16">
        <v>147500.0</v>
      </c>
    </row>
    <row r="90">
      <c r="A90" s="11">
        <v>46253.0</v>
      </c>
      <c r="B90" s="12" t="s">
        <v>47</v>
      </c>
      <c r="C90" s="12" t="s">
        <v>47</v>
      </c>
      <c r="D90" s="13">
        <v>239000.0</v>
      </c>
    </row>
    <row r="91">
      <c r="A91" s="14">
        <v>46253.0</v>
      </c>
      <c r="B91" s="15" t="s">
        <v>343</v>
      </c>
      <c r="C91" s="15" t="s">
        <v>406</v>
      </c>
      <c r="D91" s="16">
        <v>2000000.0</v>
      </c>
    </row>
    <row r="92">
      <c r="A92" s="11">
        <v>46254.0</v>
      </c>
      <c r="B92" s="12" t="s">
        <v>343</v>
      </c>
      <c r="C92" s="12" t="s">
        <v>407</v>
      </c>
      <c r="D92" s="13">
        <v>990000.0</v>
      </c>
    </row>
    <row r="93">
      <c r="A93" s="14">
        <v>46254.0</v>
      </c>
      <c r="B93" s="15" t="s">
        <v>343</v>
      </c>
      <c r="C93" s="15" t="s">
        <v>408</v>
      </c>
      <c r="D93" s="16">
        <v>180000.0</v>
      </c>
    </row>
    <row r="94">
      <c r="A94" s="11">
        <v>46254.0</v>
      </c>
      <c r="B94" s="12" t="s">
        <v>22</v>
      </c>
      <c r="C94" s="12" t="s">
        <v>409</v>
      </c>
      <c r="D94" s="13">
        <v>551000.0</v>
      </c>
    </row>
    <row r="95">
      <c r="A95" s="14">
        <v>46254.0</v>
      </c>
      <c r="B95" s="15" t="s">
        <v>343</v>
      </c>
      <c r="C95" s="15" t="s">
        <v>410</v>
      </c>
      <c r="D95" s="16">
        <v>500000.0</v>
      </c>
    </row>
    <row r="96">
      <c r="A96" s="11">
        <v>46254.0</v>
      </c>
      <c r="B96" s="12" t="s">
        <v>27</v>
      </c>
      <c r="C96" s="12" t="s">
        <v>411</v>
      </c>
      <c r="D96" s="13">
        <v>25000.0</v>
      </c>
    </row>
    <row r="97">
      <c r="A97" s="14">
        <v>46253.0</v>
      </c>
      <c r="B97" s="15" t="s">
        <v>343</v>
      </c>
      <c r="C97" s="15" t="s">
        <v>412</v>
      </c>
      <c r="D97" s="16">
        <v>200000.0</v>
      </c>
    </row>
    <row r="98">
      <c r="A98" s="11">
        <v>46253.0</v>
      </c>
      <c r="B98" s="12" t="s">
        <v>22</v>
      </c>
      <c r="C98" s="12" t="s">
        <v>128</v>
      </c>
      <c r="D98" s="13">
        <v>42000.0</v>
      </c>
    </row>
    <row r="99">
      <c r="A99" s="14">
        <v>46253.0</v>
      </c>
      <c r="B99" s="15" t="s">
        <v>40</v>
      </c>
      <c r="C99" s="15" t="s">
        <v>413</v>
      </c>
      <c r="D99" s="16">
        <v>15000.0</v>
      </c>
    </row>
    <row r="100">
      <c r="A100" s="11">
        <v>46254.0</v>
      </c>
      <c r="B100" s="12" t="s">
        <v>22</v>
      </c>
      <c r="C100" s="12" t="s">
        <v>414</v>
      </c>
      <c r="D100" s="13">
        <v>787000.0</v>
      </c>
    </row>
    <row r="101">
      <c r="A101" s="14">
        <v>46254.0</v>
      </c>
      <c r="B101" s="15" t="s">
        <v>22</v>
      </c>
      <c r="C101" s="15" t="s">
        <v>133</v>
      </c>
      <c r="D101" s="16">
        <v>30000.0</v>
      </c>
    </row>
    <row r="102">
      <c r="A102" s="84">
        <v>46254.0</v>
      </c>
      <c r="B102" s="12" t="s">
        <v>22</v>
      </c>
      <c r="C102" s="12" t="s">
        <v>415</v>
      </c>
      <c r="D102" s="13">
        <v>2000.0</v>
      </c>
    </row>
    <row r="103">
      <c r="A103" s="14">
        <v>46254.0</v>
      </c>
      <c r="B103" s="15" t="s">
        <v>22</v>
      </c>
      <c r="C103" s="15" t="s">
        <v>68</v>
      </c>
      <c r="D103" s="16">
        <v>26000.0</v>
      </c>
    </row>
    <row r="104">
      <c r="A104" s="11">
        <v>46255.0</v>
      </c>
      <c r="B104" s="12" t="s">
        <v>15</v>
      </c>
      <c r="C104" s="12" t="s">
        <v>416</v>
      </c>
      <c r="D104" s="13">
        <v>420000.0</v>
      </c>
    </row>
    <row r="105">
      <c r="A105" s="14">
        <v>46256.0</v>
      </c>
      <c r="B105" s="15" t="s">
        <v>27</v>
      </c>
      <c r="C105" s="15" t="s">
        <v>38</v>
      </c>
      <c r="D105" s="16">
        <v>300000.0</v>
      </c>
    </row>
    <row r="106">
      <c r="A106" s="11">
        <v>46255.0</v>
      </c>
      <c r="B106" s="12" t="s">
        <v>22</v>
      </c>
      <c r="C106" s="12" t="s">
        <v>31</v>
      </c>
      <c r="D106" s="13">
        <v>61500.0</v>
      </c>
    </row>
    <row r="107">
      <c r="A107" s="14">
        <v>46255.0</v>
      </c>
      <c r="B107" s="15" t="s">
        <v>22</v>
      </c>
      <c r="C107" s="15" t="s">
        <v>417</v>
      </c>
      <c r="D107" s="16">
        <v>10500.0</v>
      </c>
    </row>
    <row r="108">
      <c r="A108" s="11">
        <v>46255.0</v>
      </c>
      <c r="B108" s="12" t="s">
        <v>40</v>
      </c>
      <c r="C108" s="12" t="s">
        <v>418</v>
      </c>
      <c r="D108" s="13">
        <v>6000.0</v>
      </c>
    </row>
    <row r="109">
      <c r="A109" s="14">
        <v>46255.0</v>
      </c>
      <c r="B109" s="15" t="s">
        <v>22</v>
      </c>
      <c r="C109" s="15" t="s">
        <v>139</v>
      </c>
      <c r="D109" s="16">
        <v>89000.0</v>
      </c>
    </row>
    <row r="110">
      <c r="A110" s="11">
        <v>46255.0</v>
      </c>
      <c r="B110" s="12" t="s">
        <v>27</v>
      </c>
      <c r="C110" s="12" t="s">
        <v>56</v>
      </c>
      <c r="D110" s="13">
        <v>22000.0</v>
      </c>
    </row>
    <row r="111">
      <c r="A111" s="14">
        <v>46255.0</v>
      </c>
      <c r="B111" s="15" t="s">
        <v>22</v>
      </c>
      <c r="C111" s="15" t="s">
        <v>133</v>
      </c>
      <c r="D111" s="16">
        <v>60000.0</v>
      </c>
    </row>
    <row r="112">
      <c r="A112" s="11">
        <v>46255.0</v>
      </c>
      <c r="B112" s="12" t="s">
        <v>22</v>
      </c>
      <c r="C112" s="12" t="s">
        <v>66</v>
      </c>
      <c r="D112" s="13">
        <v>21000.0</v>
      </c>
    </row>
    <row r="113">
      <c r="A113" s="14">
        <v>46255.0</v>
      </c>
      <c r="B113" s="15" t="s">
        <v>22</v>
      </c>
      <c r="C113" s="15" t="s">
        <v>419</v>
      </c>
      <c r="D113" s="16">
        <v>7000.0</v>
      </c>
    </row>
    <row r="114">
      <c r="A114" s="11">
        <v>46256.0</v>
      </c>
      <c r="B114" s="12" t="s">
        <v>27</v>
      </c>
      <c r="C114" s="12" t="s">
        <v>420</v>
      </c>
      <c r="D114" s="13">
        <v>89000.0</v>
      </c>
    </row>
    <row r="115">
      <c r="A115" s="14">
        <v>46256.0</v>
      </c>
      <c r="B115" s="15" t="s">
        <v>22</v>
      </c>
      <c r="C115" s="15" t="s">
        <v>421</v>
      </c>
      <c r="D115" s="16">
        <v>166000.0</v>
      </c>
    </row>
    <row r="116">
      <c r="A116" s="11">
        <v>46256.0</v>
      </c>
      <c r="B116" s="12" t="s">
        <v>22</v>
      </c>
      <c r="C116" s="12" t="s">
        <v>422</v>
      </c>
      <c r="D116" s="13">
        <v>118000.0</v>
      </c>
    </row>
    <row r="117">
      <c r="A117" s="14">
        <v>46256.0</v>
      </c>
      <c r="B117" s="15" t="s">
        <v>27</v>
      </c>
      <c r="C117" s="15" t="s">
        <v>423</v>
      </c>
      <c r="D117" s="16">
        <v>35000.0</v>
      </c>
    </row>
    <row r="118">
      <c r="A118" s="11">
        <v>46256.0</v>
      </c>
      <c r="B118" s="12" t="s">
        <v>22</v>
      </c>
      <c r="C118" s="12" t="s">
        <v>424</v>
      </c>
      <c r="D118" s="13">
        <v>64000.0</v>
      </c>
    </row>
    <row r="119">
      <c r="A119" s="14">
        <v>46256.0</v>
      </c>
      <c r="B119" s="15" t="s">
        <v>22</v>
      </c>
      <c r="C119" s="15" t="s">
        <v>139</v>
      </c>
      <c r="D119" s="16">
        <v>133500.0</v>
      </c>
    </row>
    <row r="120">
      <c r="A120" s="11">
        <v>46256.0</v>
      </c>
      <c r="B120" s="12" t="s">
        <v>22</v>
      </c>
      <c r="C120" s="12" t="s">
        <v>129</v>
      </c>
      <c r="D120" s="13">
        <v>35000.0</v>
      </c>
    </row>
    <row r="121">
      <c r="A121" s="14">
        <v>46256.0</v>
      </c>
      <c r="B121" s="15" t="s">
        <v>22</v>
      </c>
      <c r="C121" s="15" t="s">
        <v>31</v>
      </c>
      <c r="D121" s="16">
        <v>42000.0</v>
      </c>
    </row>
    <row r="122">
      <c r="A122" s="11">
        <v>46256.0</v>
      </c>
      <c r="B122" s="12" t="s">
        <v>22</v>
      </c>
      <c r="C122" s="12" t="s">
        <v>54</v>
      </c>
      <c r="D122" s="13">
        <v>6000.0</v>
      </c>
    </row>
    <row r="123">
      <c r="A123" s="14">
        <v>46256.0</v>
      </c>
      <c r="B123" s="15" t="s">
        <v>22</v>
      </c>
      <c r="C123" s="15" t="s">
        <v>23</v>
      </c>
      <c r="D123" s="16">
        <v>5000.0</v>
      </c>
    </row>
    <row r="124">
      <c r="A124" s="11">
        <v>46256.0</v>
      </c>
      <c r="B124" s="12" t="s">
        <v>22</v>
      </c>
      <c r="C124" s="12" t="s">
        <v>68</v>
      </c>
      <c r="D124" s="13">
        <v>23000.0</v>
      </c>
    </row>
    <row r="125">
      <c r="A125" s="14">
        <v>46256.0</v>
      </c>
      <c r="B125" s="15" t="s">
        <v>22</v>
      </c>
      <c r="C125" s="15" t="s">
        <v>350</v>
      </c>
      <c r="D125" s="16">
        <v>84000.0</v>
      </c>
    </row>
    <row r="126">
      <c r="A126" s="11">
        <v>46256.0</v>
      </c>
      <c r="B126" s="12" t="s">
        <v>22</v>
      </c>
      <c r="C126" s="12" t="s">
        <v>425</v>
      </c>
      <c r="D126" s="13">
        <v>13000.0</v>
      </c>
    </row>
    <row r="127">
      <c r="A127" s="14">
        <v>46257.0</v>
      </c>
      <c r="B127" s="15" t="s">
        <v>22</v>
      </c>
      <c r="C127" s="15" t="s">
        <v>426</v>
      </c>
      <c r="D127" s="16">
        <v>71000.0</v>
      </c>
    </row>
    <row r="128">
      <c r="A128" s="11">
        <v>46256.0</v>
      </c>
      <c r="B128" s="12" t="s">
        <v>27</v>
      </c>
      <c r="C128" s="12" t="s">
        <v>56</v>
      </c>
      <c r="D128" s="13">
        <v>22000.0</v>
      </c>
    </row>
    <row r="129">
      <c r="A129" s="97">
        <v>46256.0</v>
      </c>
      <c r="B129" s="15" t="s">
        <v>27</v>
      </c>
      <c r="C129" s="15" t="s">
        <v>427</v>
      </c>
      <c r="D129" s="16">
        <v>19500.0</v>
      </c>
    </row>
    <row r="130">
      <c r="A130" s="11"/>
      <c r="B130" s="12"/>
      <c r="C130" s="12"/>
      <c r="D130" s="13"/>
    </row>
    <row r="131">
      <c r="A131" s="14">
        <v>46257.0</v>
      </c>
      <c r="B131" s="15" t="s">
        <v>22</v>
      </c>
      <c r="C131" s="15" t="s">
        <v>23</v>
      </c>
      <c r="D131" s="16">
        <v>3000.0</v>
      </c>
    </row>
    <row r="132">
      <c r="A132" s="11">
        <v>46257.0</v>
      </c>
      <c r="B132" s="12" t="s">
        <v>22</v>
      </c>
      <c r="C132" s="12" t="s">
        <v>428</v>
      </c>
      <c r="D132" s="13">
        <v>9000.0</v>
      </c>
    </row>
    <row r="133">
      <c r="A133" s="14">
        <v>46257.0</v>
      </c>
      <c r="B133" s="15" t="s">
        <v>22</v>
      </c>
      <c r="C133" s="15" t="s">
        <v>429</v>
      </c>
      <c r="D133" s="16">
        <v>9000.0</v>
      </c>
    </row>
    <row r="134">
      <c r="A134" s="11">
        <v>46257.0</v>
      </c>
      <c r="B134" s="12" t="s">
        <v>22</v>
      </c>
      <c r="C134" s="12" t="s">
        <v>54</v>
      </c>
      <c r="D134" s="13">
        <v>6000.0</v>
      </c>
    </row>
    <row r="135">
      <c r="A135" s="14">
        <v>46257.0</v>
      </c>
      <c r="B135" s="15" t="s">
        <v>22</v>
      </c>
      <c r="C135" s="15" t="s">
        <v>337</v>
      </c>
      <c r="D135" s="16">
        <v>7000.0</v>
      </c>
    </row>
    <row r="136">
      <c r="A136" s="11">
        <v>46257.0</v>
      </c>
      <c r="B136" s="12" t="s">
        <v>27</v>
      </c>
      <c r="C136" s="12" t="s">
        <v>430</v>
      </c>
      <c r="D136" s="13">
        <v>204000.0</v>
      </c>
    </row>
    <row r="137">
      <c r="A137" s="14">
        <v>46257.0</v>
      </c>
      <c r="B137" s="15" t="s">
        <v>27</v>
      </c>
      <c r="C137" s="15" t="s">
        <v>353</v>
      </c>
      <c r="D137" s="16">
        <v>27000.0</v>
      </c>
    </row>
    <row r="138">
      <c r="A138" s="11">
        <v>46257.0</v>
      </c>
      <c r="B138" s="12" t="s">
        <v>22</v>
      </c>
      <c r="C138" s="12" t="s">
        <v>431</v>
      </c>
      <c r="D138" s="13">
        <v>17500.0</v>
      </c>
    </row>
    <row r="139">
      <c r="A139" s="14">
        <v>46257.0</v>
      </c>
      <c r="B139" s="15" t="s">
        <v>22</v>
      </c>
      <c r="C139" s="15" t="s">
        <v>432</v>
      </c>
      <c r="D139" s="16">
        <v>1500.0</v>
      </c>
    </row>
    <row r="140">
      <c r="A140" s="11">
        <v>46257.0</v>
      </c>
      <c r="B140" s="12" t="s">
        <v>27</v>
      </c>
      <c r="C140" s="12" t="s">
        <v>433</v>
      </c>
      <c r="D140" s="13">
        <v>15000.0</v>
      </c>
    </row>
    <row r="141">
      <c r="A141" s="14">
        <v>46257.0</v>
      </c>
      <c r="B141" s="15" t="s">
        <v>27</v>
      </c>
      <c r="C141" s="15" t="s">
        <v>434</v>
      </c>
      <c r="D141" s="16">
        <v>34000.0</v>
      </c>
    </row>
    <row r="142">
      <c r="A142" s="11">
        <v>46258.0</v>
      </c>
      <c r="B142" s="12" t="s">
        <v>47</v>
      </c>
      <c r="C142" s="12" t="s">
        <v>47</v>
      </c>
      <c r="D142" s="13">
        <v>100000.0</v>
      </c>
    </row>
    <row r="143">
      <c r="A143" s="14"/>
      <c r="B143" s="15"/>
      <c r="C143" s="15"/>
      <c r="D143" s="16"/>
    </row>
    <row r="144">
      <c r="A144" s="11">
        <v>46258.0</v>
      </c>
      <c r="B144" s="12" t="s">
        <v>22</v>
      </c>
      <c r="C144" s="12" t="s">
        <v>435</v>
      </c>
      <c r="D144" s="13">
        <v>30000.0</v>
      </c>
    </row>
    <row r="145">
      <c r="A145" s="14">
        <v>46258.0</v>
      </c>
      <c r="B145" s="15" t="s">
        <v>22</v>
      </c>
      <c r="C145" s="15" t="s">
        <v>436</v>
      </c>
      <c r="D145" s="16">
        <v>119000.0</v>
      </c>
    </row>
    <row r="146">
      <c r="A146" s="11">
        <v>46258.0</v>
      </c>
      <c r="B146" s="12" t="s">
        <v>27</v>
      </c>
      <c r="C146" s="12" t="s">
        <v>437</v>
      </c>
      <c r="D146" s="13">
        <v>28000.0</v>
      </c>
    </row>
    <row r="147">
      <c r="A147" s="14">
        <v>46258.0</v>
      </c>
      <c r="B147" s="15" t="s">
        <v>22</v>
      </c>
      <c r="C147" s="15" t="s">
        <v>31</v>
      </c>
      <c r="D147" s="16">
        <v>41000.0</v>
      </c>
    </row>
    <row r="148">
      <c r="A148" s="11">
        <v>46258.0</v>
      </c>
      <c r="B148" s="12" t="s">
        <v>22</v>
      </c>
      <c r="C148" s="12" t="s">
        <v>91</v>
      </c>
      <c r="D148" s="13">
        <v>5000.0</v>
      </c>
    </row>
    <row r="149">
      <c r="A149" s="14">
        <v>46258.0</v>
      </c>
      <c r="B149" s="15" t="s">
        <v>22</v>
      </c>
      <c r="C149" s="15" t="s">
        <v>97</v>
      </c>
      <c r="D149" s="16">
        <v>23000.0</v>
      </c>
    </row>
    <row r="150">
      <c r="A150" s="11">
        <v>46258.0</v>
      </c>
      <c r="B150" s="12" t="s">
        <v>22</v>
      </c>
      <c r="C150" s="12" t="s">
        <v>438</v>
      </c>
      <c r="D150" s="13">
        <v>10000.0</v>
      </c>
    </row>
    <row r="151">
      <c r="A151" s="14">
        <v>46258.0</v>
      </c>
      <c r="B151" s="15" t="s">
        <v>22</v>
      </c>
      <c r="C151" s="15" t="s">
        <v>68</v>
      </c>
      <c r="D151" s="16">
        <v>22000.0</v>
      </c>
    </row>
    <row r="152">
      <c r="A152" s="11">
        <v>46259.0</v>
      </c>
      <c r="B152" s="12" t="s">
        <v>47</v>
      </c>
      <c r="C152" s="12" t="s">
        <v>439</v>
      </c>
      <c r="D152" s="13">
        <v>2090000.0</v>
      </c>
    </row>
    <row r="153">
      <c r="A153" s="14">
        <v>46259.0</v>
      </c>
      <c r="B153" s="15" t="s">
        <v>27</v>
      </c>
      <c r="C153" s="15" t="s">
        <v>341</v>
      </c>
      <c r="D153" s="16">
        <v>455000.0</v>
      </c>
    </row>
    <row r="154">
      <c r="A154" s="11"/>
      <c r="B154" s="12"/>
      <c r="C154" s="12"/>
      <c r="D154" s="13"/>
    </row>
    <row r="155">
      <c r="A155" s="14">
        <v>46260.0</v>
      </c>
      <c r="B155" s="15" t="s">
        <v>22</v>
      </c>
      <c r="C155" s="15" t="s">
        <v>68</v>
      </c>
      <c r="D155" s="16">
        <v>15000.0</v>
      </c>
    </row>
    <row r="156">
      <c r="A156" s="11">
        <v>46260.0</v>
      </c>
      <c r="B156" s="12" t="s">
        <v>22</v>
      </c>
      <c r="C156" s="12" t="s">
        <v>23</v>
      </c>
      <c r="D156" s="13">
        <v>4000.0</v>
      </c>
    </row>
    <row r="157">
      <c r="A157" s="14">
        <v>46260.0</v>
      </c>
      <c r="B157" s="15" t="s">
        <v>27</v>
      </c>
      <c r="C157" s="15" t="s">
        <v>38</v>
      </c>
      <c r="D157" s="16">
        <v>100000.0</v>
      </c>
    </row>
    <row r="158">
      <c r="A158" s="11">
        <v>46261.0</v>
      </c>
      <c r="B158" s="12" t="s">
        <v>22</v>
      </c>
      <c r="C158" s="12" t="s">
        <v>68</v>
      </c>
      <c r="D158" s="13">
        <v>25000.0</v>
      </c>
    </row>
    <row r="159">
      <c r="A159" s="14">
        <v>46261.0</v>
      </c>
      <c r="B159" s="15" t="s">
        <v>50</v>
      </c>
      <c r="C159" s="15" t="s">
        <v>440</v>
      </c>
      <c r="D159" s="16">
        <v>350000.0</v>
      </c>
    </row>
    <row r="160">
      <c r="A160" s="11"/>
      <c r="B160" s="12"/>
      <c r="C160" s="12"/>
      <c r="D160" s="13"/>
    </row>
    <row r="161">
      <c r="A161" s="14">
        <v>46263.0</v>
      </c>
      <c r="B161" s="15" t="s">
        <v>22</v>
      </c>
      <c r="C161" s="15" t="s">
        <v>68</v>
      </c>
      <c r="D161" s="16">
        <v>75000.0</v>
      </c>
    </row>
    <row r="162">
      <c r="A162" s="11">
        <v>46263.0</v>
      </c>
      <c r="B162" s="12" t="s">
        <v>22</v>
      </c>
      <c r="C162" s="12" t="s">
        <v>441</v>
      </c>
      <c r="D162" s="13">
        <v>117500.0</v>
      </c>
    </row>
    <row r="163">
      <c r="A163" s="14">
        <v>46263.0</v>
      </c>
      <c r="B163" s="15" t="s">
        <v>27</v>
      </c>
      <c r="C163" s="15" t="s">
        <v>442</v>
      </c>
      <c r="D163" s="16">
        <v>50000.0</v>
      </c>
    </row>
    <row r="164">
      <c r="A164" s="11">
        <v>46263.0</v>
      </c>
      <c r="B164" s="12" t="s">
        <v>22</v>
      </c>
      <c r="C164" s="12" t="s">
        <v>443</v>
      </c>
      <c r="D164" s="13">
        <v>27000.0</v>
      </c>
    </row>
    <row r="165">
      <c r="A165" s="14">
        <v>46263.0</v>
      </c>
      <c r="B165" s="15" t="s">
        <v>22</v>
      </c>
      <c r="C165" s="15" t="s">
        <v>444</v>
      </c>
      <c r="D165" s="16">
        <v>13500.0</v>
      </c>
    </row>
    <row r="166">
      <c r="A166" s="11">
        <v>46263.0</v>
      </c>
      <c r="B166" s="12" t="s">
        <v>22</v>
      </c>
      <c r="C166" s="12" t="s">
        <v>53</v>
      </c>
      <c r="D166" s="13">
        <v>104500.0</v>
      </c>
    </row>
    <row r="167">
      <c r="A167" s="14">
        <v>46263.0</v>
      </c>
      <c r="B167" s="15" t="s">
        <v>22</v>
      </c>
      <c r="C167" s="15" t="s">
        <v>133</v>
      </c>
      <c r="D167" s="16">
        <v>60000.0</v>
      </c>
    </row>
    <row r="168">
      <c r="A168" s="11">
        <v>46263.0</v>
      </c>
      <c r="B168" s="12" t="s">
        <v>22</v>
      </c>
      <c r="C168" s="12" t="s">
        <v>139</v>
      </c>
      <c r="D168" s="13">
        <v>89000.0</v>
      </c>
    </row>
    <row r="169">
      <c r="A169" s="14">
        <v>46263.0</v>
      </c>
      <c r="B169" s="15" t="s">
        <v>22</v>
      </c>
      <c r="C169" s="15" t="s">
        <v>82</v>
      </c>
      <c r="D169" s="16">
        <v>16000.0</v>
      </c>
    </row>
    <row r="170">
      <c r="A170" s="11">
        <v>46263.0</v>
      </c>
      <c r="B170" s="12" t="s">
        <v>22</v>
      </c>
      <c r="C170" s="12" t="s">
        <v>431</v>
      </c>
      <c r="D170" s="13">
        <v>17500.0</v>
      </c>
    </row>
    <row r="171">
      <c r="A171" s="14">
        <v>46263.0</v>
      </c>
      <c r="B171" s="15" t="s">
        <v>22</v>
      </c>
      <c r="C171" s="15" t="s">
        <v>70</v>
      </c>
      <c r="D171" s="16">
        <v>16000.0</v>
      </c>
    </row>
    <row r="172">
      <c r="A172" s="11">
        <v>46263.0</v>
      </c>
      <c r="B172" s="12" t="s">
        <v>27</v>
      </c>
      <c r="C172" s="12" t="s">
        <v>38</v>
      </c>
      <c r="D172" s="13">
        <v>400000.0</v>
      </c>
    </row>
    <row r="173">
      <c r="A173" s="14">
        <v>46263.0</v>
      </c>
      <c r="B173" s="15" t="s">
        <v>27</v>
      </c>
      <c r="C173" s="15" t="s">
        <v>445</v>
      </c>
      <c r="D173" s="16">
        <v>114000.0</v>
      </c>
    </row>
    <row r="174">
      <c r="A174" s="11">
        <v>46263.0</v>
      </c>
      <c r="B174" s="12" t="s">
        <v>27</v>
      </c>
      <c r="C174" s="12" t="s">
        <v>446</v>
      </c>
      <c r="D174" s="13">
        <v>10000.0</v>
      </c>
    </row>
    <row r="175">
      <c r="A175" s="14">
        <v>46264.0</v>
      </c>
      <c r="B175" s="15" t="s">
        <v>447</v>
      </c>
      <c r="C175" s="15" t="s">
        <v>448</v>
      </c>
      <c r="D175" s="16">
        <v>4000000.0</v>
      </c>
    </row>
    <row r="176">
      <c r="A176" s="11">
        <v>46264.0</v>
      </c>
      <c r="B176" s="12" t="s">
        <v>447</v>
      </c>
      <c r="C176" s="12" t="s">
        <v>449</v>
      </c>
      <c r="D176" s="13">
        <v>5000000.0</v>
      </c>
    </row>
    <row r="177">
      <c r="A177" s="14">
        <v>46264.0</v>
      </c>
      <c r="B177" s="15" t="s">
        <v>27</v>
      </c>
      <c r="C177" s="15" t="s">
        <v>38</v>
      </c>
      <c r="D177" s="16">
        <v>100000.0</v>
      </c>
    </row>
    <row r="178">
      <c r="A178" s="11">
        <v>46264.0</v>
      </c>
      <c r="B178" s="12" t="s">
        <v>22</v>
      </c>
      <c r="C178" s="12" t="s">
        <v>129</v>
      </c>
      <c r="D178" s="13">
        <v>35000.0</v>
      </c>
    </row>
    <row r="179">
      <c r="A179" s="14">
        <v>46264.0</v>
      </c>
      <c r="B179" s="15" t="s">
        <v>27</v>
      </c>
      <c r="C179" s="15" t="s">
        <v>413</v>
      </c>
      <c r="D179" s="16">
        <v>10500.0</v>
      </c>
    </row>
    <row r="180">
      <c r="A180" s="11">
        <v>46264.0</v>
      </c>
      <c r="B180" s="12" t="s">
        <v>22</v>
      </c>
      <c r="C180" s="12" t="s">
        <v>31</v>
      </c>
      <c r="D180" s="13">
        <v>82000.0</v>
      </c>
    </row>
    <row r="181">
      <c r="A181" s="14">
        <v>46264.0</v>
      </c>
      <c r="B181" s="15" t="s">
        <v>22</v>
      </c>
      <c r="C181" s="15" t="s">
        <v>450</v>
      </c>
      <c r="D181" s="16">
        <v>38500.0</v>
      </c>
    </row>
    <row r="182">
      <c r="A182" s="11">
        <v>46264.0</v>
      </c>
      <c r="B182" s="12" t="s">
        <v>27</v>
      </c>
      <c r="C182" s="12" t="s">
        <v>451</v>
      </c>
      <c r="D182" s="13">
        <v>19500.0</v>
      </c>
    </row>
    <row r="183">
      <c r="A183" s="14">
        <v>46264.0</v>
      </c>
      <c r="B183" s="15" t="s">
        <v>22</v>
      </c>
      <c r="C183" s="15" t="s">
        <v>436</v>
      </c>
      <c r="D183" s="16">
        <v>119000.0</v>
      </c>
    </row>
    <row r="184">
      <c r="A184" s="11">
        <v>46264.0</v>
      </c>
      <c r="B184" s="12" t="s">
        <v>27</v>
      </c>
      <c r="C184" s="12" t="s">
        <v>452</v>
      </c>
      <c r="D184" s="13">
        <v>27000.0</v>
      </c>
    </row>
    <row r="185">
      <c r="A185" s="14">
        <v>46264.0</v>
      </c>
      <c r="B185" s="15" t="s">
        <v>27</v>
      </c>
      <c r="C185" s="15" t="s">
        <v>453</v>
      </c>
      <c r="D185" s="16">
        <v>20000.0</v>
      </c>
    </row>
    <row r="186">
      <c r="A186" s="11">
        <v>46264.0</v>
      </c>
      <c r="B186" s="12" t="s">
        <v>22</v>
      </c>
      <c r="C186" s="12" t="s">
        <v>70</v>
      </c>
      <c r="D186" s="13">
        <v>12000.0</v>
      </c>
    </row>
    <row r="187">
      <c r="A187" s="14">
        <v>46264.0</v>
      </c>
      <c r="B187" s="15" t="s">
        <v>22</v>
      </c>
      <c r="C187" s="15" t="s">
        <v>454</v>
      </c>
      <c r="D187" s="16">
        <v>49000.0</v>
      </c>
    </row>
    <row r="188">
      <c r="A188" s="11">
        <v>46264.0</v>
      </c>
      <c r="B188" s="12" t="s">
        <v>22</v>
      </c>
      <c r="C188" s="12" t="s">
        <v>23</v>
      </c>
      <c r="D188" s="13">
        <v>9000.0</v>
      </c>
    </row>
    <row r="189">
      <c r="A189" s="14">
        <v>46264.0</v>
      </c>
      <c r="B189" s="15" t="s">
        <v>22</v>
      </c>
      <c r="C189" s="15" t="s">
        <v>428</v>
      </c>
      <c r="D189" s="16">
        <v>3000.0</v>
      </c>
    </row>
    <row r="190">
      <c r="A190" s="11">
        <v>46264.0</v>
      </c>
      <c r="B190" s="12" t="s">
        <v>22</v>
      </c>
      <c r="C190" s="12" t="s">
        <v>455</v>
      </c>
      <c r="D190" s="13">
        <v>5000.0</v>
      </c>
    </row>
    <row r="191">
      <c r="A191" s="14">
        <v>46265.0</v>
      </c>
      <c r="B191" s="15" t="s">
        <v>22</v>
      </c>
      <c r="C191" s="15" t="s">
        <v>68</v>
      </c>
      <c r="D191" s="16">
        <v>48000.0</v>
      </c>
    </row>
    <row r="192">
      <c r="A192" s="11">
        <v>46265.0</v>
      </c>
      <c r="B192" s="12" t="s">
        <v>22</v>
      </c>
      <c r="C192" s="12" t="s">
        <v>456</v>
      </c>
      <c r="D192" s="13">
        <v>10000.0</v>
      </c>
    </row>
    <row r="193">
      <c r="A193" s="14">
        <v>46265.0</v>
      </c>
      <c r="B193" s="15" t="s">
        <v>22</v>
      </c>
      <c r="C193" s="15" t="s">
        <v>457</v>
      </c>
      <c r="D193" s="16">
        <v>82000.0</v>
      </c>
    </row>
    <row r="194">
      <c r="A194" s="11">
        <v>46265.0</v>
      </c>
      <c r="B194" s="12" t="s">
        <v>22</v>
      </c>
      <c r="C194" s="12" t="s">
        <v>133</v>
      </c>
      <c r="D194" s="13">
        <v>52500.0</v>
      </c>
    </row>
    <row r="195">
      <c r="A195" s="14">
        <v>46265.0</v>
      </c>
      <c r="B195" s="15" t="s">
        <v>22</v>
      </c>
      <c r="C195" s="15" t="s">
        <v>355</v>
      </c>
      <c r="D195" s="16">
        <v>23000.0</v>
      </c>
    </row>
    <row r="196">
      <c r="A196" s="11">
        <v>46265.0</v>
      </c>
      <c r="B196" s="12" t="s">
        <v>22</v>
      </c>
      <c r="C196" s="12" t="s">
        <v>458</v>
      </c>
      <c r="D196" s="13">
        <v>978000.0</v>
      </c>
    </row>
    <row r="197">
      <c r="A197" s="14">
        <v>46265.0</v>
      </c>
      <c r="B197" s="15" t="s">
        <v>22</v>
      </c>
      <c r="C197" s="15" t="s">
        <v>31</v>
      </c>
      <c r="D197" s="16">
        <v>42000.0</v>
      </c>
    </row>
    <row r="198">
      <c r="A198" s="355">
        <v>46244.0</v>
      </c>
      <c r="B198" s="7" t="s">
        <v>47</v>
      </c>
      <c r="C198" s="7" t="s">
        <v>459</v>
      </c>
      <c r="D198" s="356">
        <v>1000000.0</v>
      </c>
    </row>
    <row r="199">
      <c r="A199" s="355">
        <v>46244.0</v>
      </c>
      <c r="B199" s="7" t="s">
        <v>47</v>
      </c>
      <c r="C199" s="7" t="s">
        <v>459</v>
      </c>
      <c r="D199" s="356">
        <v>10000.0</v>
      </c>
    </row>
    <row r="200">
      <c r="A200" s="355">
        <v>46246.0</v>
      </c>
      <c r="B200" s="7" t="s">
        <v>47</v>
      </c>
      <c r="C200" s="7" t="s">
        <v>460</v>
      </c>
      <c r="D200" s="356">
        <v>150000.0</v>
      </c>
    </row>
    <row r="201">
      <c r="A201" s="355">
        <v>46251.0</v>
      </c>
      <c r="B201" s="7" t="s">
        <v>47</v>
      </c>
      <c r="C201" s="7" t="s">
        <v>461</v>
      </c>
      <c r="D201" s="356">
        <v>48500.0</v>
      </c>
    </row>
    <row r="202">
      <c r="A202" s="355">
        <v>46251.0</v>
      </c>
      <c r="B202" s="7" t="s">
        <v>47</v>
      </c>
      <c r="C202" s="7" t="s">
        <v>462</v>
      </c>
      <c r="D202" s="356">
        <v>122000.0</v>
      </c>
    </row>
    <row r="203">
      <c r="A203" s="355">
        <v>46253.0</v>
      </c>
      <c r="B203" s="7" t="s">
        <v>47</v>
      </c>
      <c r="C203" s="7" t="s">
        <v>463</v>
      </c>
      <c r="D203" s="356">
        <v>500000.0</v>
      </c>
    </row>
    <row r="204">
      <c r="A204" s="355">
        <v>46253.0</v>
      </c>
      <c r="B204" s="7" t="s">
        <v>47</v>
      </c>
      <c r="C204" s="7" t="s">
        <v>464</v>
      </c>
      <c r="D204" s="356">
        <v>590000.0</v>
      </c>
    </row>
    <row r="205">
      <c r="A205" s="355">
        <v>46253.0</v>
      </c>
      <c r="B205" s="7" t="s">
        <v>47</v>
      </c>
      <c r="C205" s="7" t="s">
        <v>465</v>
      </c>
      <c r="D205" s="356">
        <v>159000.0</v>
      </c>
    </row>
    <row r="206">
      <c r="A206" s="355">
        <v>46253.0</v>
      </c>
      <c r="B206" s="7" t="s">
        <v>47</v>
      </c>
      <c r="C206" s="7" t="s">
        <v>466</v>
      </c>
      <c r="D206" s="356">
        <v>80000.0</v>
      </c>
    </row>
    <row r="207">
      <c r="A207" s="355">
        <v>46254.0</v>
      </c>
      <c r="B207" s="7" t="s">
        <v>47</v>
      </c>
      <c r="C207" s="7" t="s">
        <v>463</v>
      </c>
      <c r="D207" s="356">
        <v>400000.0</v>
      </c>
    </row>
    <row r="208">
      <c r="A208" s="355">
        <v>46256.0</v>
      </c>
      <c r="B208" s="7" t="s">
        <v>47</v>
      </c>
      <c r="C208" s="7" t="s">
        <v>463</v>
      </c>
      <c r="D208" s="356">
        <v>400000.0</v>
      </c>
    </row>
    <row r="209">
      <c r="A209" s="355">
        <v>46258.0</v>
      </c>
      <c r="B209" s="7" t="s">
        <v>47</v>
      </c>
      <c r="C209" s="7" t="s">
        <v>463</v>
      </c>
      <c r="D209" s="356">
        <v>800000.0</v>
      </c>
    </row>
    <row r="210">
      <c r="A210" s="355">
        <v>46258.0</v>
      </c>
      <c r="B210" s="7" t="s">
        <v>47</v>
      </c>
      <c r="C210" s="7" t="s">
        <v>467</v>
      </c>
      <c r="D210" s="356">
        <v>100000.0</v>
      </c>
    </row>
    <row r="211">
      <c r="A211" s="355">
        <v>46259.0</v>
      </c>
      <c r="B211" s="7" t="s">
        <v>47</v>
      </c>
      <c r="C211" s="7" t="s">
        <v>462</v>
      </c>
      <c r="D211" s="356">
        <v>90000.0</v>
      </c>
    </row>
    <row r="212">
      <c r="A212" s="355">
        <v>46260.0</v>
      </c>
      <c r="B212" s="7" t="s">
        <v>47</v>
      </c>
      <c r="C212" s="7" t="s">
        <v>463</v>
      </c>
      <c r="D212" s="356">
        <v>500000.0</v>
      </c>
    </row>
    <row r="213">
      <c r="A213" s="355">
        <v>46261.0</v>
      </c>
      <c r="B213" s="7" t="s">
        <v>47</v>
      </c>
      <c r="C213" s="7" t="s">
        <v>459</v>
      </c>
      <c r="D213" s="356">
        <v>1100000.0</v>
      </c>
    </row>
    <row r="214">
      <c r="A214" s="355">
        <v>46263.0</v>
      </c>
      <c r="B214" s="7" t="s">
        <v>47</v>
      </c>
      <c r="C214" s="7" t="s">
        <v>463</v>
      </c>
      <c r="D214" s="356">
        <v>500000.0</v>
      </c>
    </row>
    <row r="215">
      <c r="A215" s="355">
        <v>46264.0</v>
      </c>
      <c r="B215" s="7" t="s">
        <v>47</v>
      </c>
      <c r="C215" s="7" t="s">
        <v>459</v>
      </c>
      <c r="D215" s="356">
        <v>60000.0</v>
      </c>
    </row>
    <row r="216">
      <c r="A216" s="355">
        <v>46264.0</v>
      </c>
      <c r="B216" s="7" t="s">
        <v>47</v>
      </c>
      <c r="C216" s="7" t="s">
        <v>468</v>
      </c>
      <c r="D216" s="356">
        <v>200000.0</v>
      </c>
    </row>
  </sheetData>
  <autoFilter ref="$A$1:$E$934"/>
  <mergeCells count="7">
    <mergeCell ref="G1:I1"/>
    <mergeCell ref="H2:I2"/>
    <mergeCell ref="H4:I4"/>
    <mergeCell ref="H5:I5"/>
    <mergeCell ref="H6:I6"/>
    <mergeCell ref="H7:I7"/>
    <mergeCell ref="H8:I8"/>
  </mergeCells>
  <dataValidations>
    <dataValidation type="list" allowBlank="1" sqref="H2">
      <formula1>"Semua Kategori,Bahan Baku,Gaji,Operasional,Pemasaran,Lain-lain,prive,sub con"</formula1>
    </dataValidation>
    <dataValidation type="list" allowBlank="1" sqref="B2:B216">
      <formula1>"Bahan Baku,Gaji,Operasional,Operasional Sistem,Pemasaran,Lain-lain,prive,sub con"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7" t="s">
        <v>9</v>
      </c>
      <c r="B1" s="247" t="s">
        <v>220</v>
      </c>
      <c r="C1" s="247" t="s">
        <v>3</v>
      </c>
    </row>
    <row r="2">
      <c r="A2" s="231" t="s">
        <v>34</v>
      </c>
      <c r="B2" s="232">
        <v>11.0</v>
      </c>
      <c r="C2" s="253">
        <v>46248.0</v>
      </c>
    </row>
    <row r="3">
      <c r="A3" s="229" t="s">
        <v>46</v>
      </c>
      <c r="B3" s="230">
        <v>7.0</v>
      </c>
      <c r="C3" s="256">
        <v>46248.0</v>
      </c>
    </row>
    <row r="4">
      <c r="A4" s="229" t="s">
        <v>25</v>
      </c>
      <c r="B4" s="230">
        <v>5.0</v>
      </c>
      <c r="C4" s="256">
        <v>46248.0</v>
      </c>
    </row>
    <row r="5">
      <c r="A5" s="229" t="s">
        <v>14</v>
      </c>
      <c r="B5" s="230">
        <v>4.0</v>
      </c>
      <c r="C5" s="256">
        <v>46248.0</v>
      </c>
    </row>
    <row r="6">
      <c r="A6" s="229" t="s">
        <v>20</v>
      </c>
      <c r="B6" s="230">
        <v>3.0</v>
      </c>
      <c r="C6" s="256">
        <v>46248.0</v>
      </c>
    </row>
    <row r="7">
      <c r="A7" s="229" t="s">
        <v>224</v>
      </c>
      <c r="B7" s="230">
        <v>3.0</v>
      </c>
      <c r="C7" s="256">
        <v>46248.0</v>
      </c>
    </row>
    <row r="8">
      <c r="A8" s="229" t="s">
        <v>18</v>
      </c>
      <c r="B8" s="230">
        <v>2.0</v>
      </c>
      <c r="C8" s="253">
        <v>46248.0</v>
      </c>
    </row>
    <row r="9">
      <c r="A9" s="229" t="s">
        <v>28</v>
      </c>
      <c r="B9" s="230">
        <v>2.0</v>
      </c>
      <c r="C9" s="256">
        <v>46248.0</v>
      </c>
    </row>
    <row r="10">
      <c r="A10" s="229" t="s">
        <v>225</v>
      </c>
      <c r="B10" s="230">
        <v>2.0</v>
      </c>
      <c r="C10" s="256">
        <v>46248.0</v>
      </c>
    </row>
    <row r="11">
      <c r="A11" s="229" t="s">
        <v>307</v>
      </c>
      <c r="B11" s="230">
        <v>1.0</v>
      </c>
      <c r="C11" s="256">
        <v>46248.0</v>
      </c>
    </row>
    <row r="12">
      <c r="A12" s="229" t="s">
        <v>49</v>
      </c>
      <c r="B12" s="230">
        <v>1.0</v>
      </c>
      <c r="C12" s="256">
        <v>46248.0</v>
      </c>
    </row>
    <row r="13">
      <c r="A13" s="229" t="s">
        <v>73</v>
      </c>
      <c r="B13" s="230">
        <v>1.0</v>
      </c>
      <c r="C13" s="256">
        <v>46248.0</v>
      </c>
    </row>
    <row r="14">
      <c r="A14" s="229" t="s">
        <v>43</v>
      </c>
      <c r="B14" s="230">
        <v>1.0</v>
      </c>
      <c r="C14" s="253">
        <v>46248.0</v>
      </c>
    </row>
    <row r="15">
      <c r="A15" s="229" t="s">
        <v>64</v>
      </c>
      <c r="B15" s="230">
        <v>1.0</v>
      </c>
      <c r="C15" s="256">
        <v>46248.0</v>
      </c>
    </row>
    <row r="16">
      <c r="A16" s="229" t="s">
        <v>24</v>
      </c>
      <c r="B16" s="230">
        <v>1.0</v>
      </c>
      <c r="C16" s="256">
        <v>46248.0</v>
      </c>
    </row>
    <row r="17">
      <c r="A17" s="229" t="s">
        <v>65</v>
      </c>
      <c r="B17" s="230">
        <v>1.0</v>
      </c>
      <c r="C17" s="256">
        <v>46248.0</v>
      </c>
    </row>
    <row r="18">
      <c r="A18" s="229" t="s">
        <v>69</v>
      </c>
      <c r="B18" s="230">
        <v>1.0</v>
      </c>
      <c r="C18" s="256">
        <v>46248.0</v>
      </c>
    </row>
    <row r="19">
      <c r="A19" s="229" t="s">
        <v>308</v>
      </c>
      <c r="B19" s="230">
        <v>1.0</v>
      </c>
      <c r="C19" s="256">
        <v>46248.0</v>
      </c>
    </row>
    <row r="21">
      <c r="A21" s="231" t="s">
        <v>18</v>
      </c>
      <c r="B21" s="232">
        <v>15.0</v>
      </c>
      <c r="C21" s="222">
        <v>46249.0</v>
      </c>
    </row>
    <row r="22">
      <c r="A22" s="229" t="s">
        <v>16</v>
      </c>
      <c r="B22" s="230">
        <v>12.0</v>
      </c>
      <c r="C22" s="222">
        <v>46249.0</v>
      </c>
    </row>
    <row r="23">
      <c r="A23" s="229" t="s">
        <v>20</v>
      </c>
      <c r="B23" s="230">
        <v>9.0</v>
      </c>
      <c r="C23" s="222">
        <v>46249.0</v>
      </c>
    </row>
    <row r="24">
      <c r="A24" s="229" t="s">
        <v>225</v>
      </c>
      <c r="B24" s="230">
        <v>9.0</v>
      </c>
      <c r="C24" s="222">
        <v>46249.0</v>
      </c>
    </row>
    <row r="25">
      <c r="A25" s="229" t="s">
        <v>224</v>
      </c>
      <c r="B25" s="230">
        <v>6.0</v>
      </c>
      <c r="C25" s="222">
        <v>46249.0</v>
      </c>
    </row>
    <row r="26">
      <c r="A26" s="229" t="s">
        <v>14</v>
      </c>
      <c r="B26" s="230">
        <v>6.0</v>
      </c>
      <c r="C26" s="222">
        <v>46249.0</v>
      </c>
    </row>
    <row r="27">
      <c r="A27" s="229" t="s">
        <v>25</v>
      </c>
      <c r="B27" s="230">
        <v>5.0</v>
      </c>
      <c r="C27" s="222">
        <v>46249.0</v>
      </c>
    </row>
    <row r="28">
      <c r="A28" s="229" t="s">
        <v>37</v>
      </c>
      <c r="B28" s="230">
        <v>5.0</v>
      </c>
      <c r="C28" s="222">
        <v>46249.0</v>
      </c>
    </row>
    <row r="29">
      <c r="A29" s="229" t="s">
        <v>32</v>
      </c>
      <c r="B29" s="230">
        <v>4.0</v>
      </c>
      <c r="C29" s="222">
        <v>46249.0</v>
      </c>
    </row>
    <row r="30">
      <c r="A30" s="229" t="s">
        <v>43</v>
      </c>
      <c r="B30" s="230">
        <v>4.0</v>
      </c>
      <c r="C30" s="222">
        <v>46249.0</v>
      </c>
    </row>
    <row r="31">
      <c r="A31" s="229" t="s">
        <v>24</v>
      </c>
      <c r="B31" s="230">
        <v>4.0</v>
      </c>
      <c r="C31" s="222">
        <v>46249.0</v>
      </c>
    </row>
    <row r="32">
      <c r="A32" s="229" t="s">
        <v>34</v>
      </c>
      <c r="B32" s="230">
        <v>4.0</v>
      </c>
      <c r="C32" s="222">
        <v>46249.0</v>
      </c>
    </row>
    <row r="33">
      <c r="A33" s="229" t="s">
        <v>49</v>
      </c>
      <c r="B33" s="230">
        <v>3.0</v>
      </c>
      <c r="C33" s="222">
        <v>46249.0</v>
      </c>
    </row>
    <row r="34">
      <c r="A34" s="229" t="s">
        <v>21</v>
      </c>
      <c r="B34" s="230">
        <v>3.0</v>
      </c>
      <c r="C34" s="222">
        <v>46249.0</v>
      </c>
    </row>
    <row r="35">
      <c r="A35" s="229" t="s">
        <v>28</v>
      </c>
      <c r="B35" s="230">
        <v>2.0</v>
      </c>
      <c r="C35" s="222">
        <v>46249.0</v>
      </c>
    </row>
    <row r="36">
      <c r="A36" s="229" t="s">
        <v>222</v>
      </c>
      <c r="B36" s="230">
        <v>1.0</v>
      </c>
      <c r="C36" s="222">
        <v>46249.0</v>
      </c>
    </row>
    <row r="37">
      <c r="A37" s="229" t="s">
        <v>52</v>
      </c>
      <c r="B37" s="230">
        <v>1.0</v>
      </c>
      <c r="C37" s="222">
        <v>46249.0</v>
      </c>
    </row>
    <row r="38">
      <c r="A38" s="229" t="s">
        <v>55</v>
      </c>
      <c r="B38" s="230">
        <v>1.0</v>
      </c>
      <c r="C38" s="222">
        <v>46249.0</v>
      </c>
    </row>
    <row r="39">
      <c r="A39" s="229" t="s">
        <v>59</v>
      </c>
      <c r="B39" s="230">
        <v>1.0</v>
      </c>
      <c r="C39" s="222">
        <v>46249.0</v>
      </c>
    </row>
    <row r="40">
      <c r="A40" s="229" t="s">
        <v>71</v>
      </c>
      <c r="B40" s="230">
        <v>1.0</v>
      </c>
      <c r="C40" s="222">
        <v>46249.0</v>
      </c>
    </row>
    <row r="41">
      <c r="A41" s="229" t="s">
        <v>64</v>
      </c>
      <c r="B41" s="230">
        <v>1.0</v>
      </c>
      <c r="C41" s="222">
        <v>46249.0</v>
      </c>
    </row>
    <row r="42">
      <c r="A42" s="229" t="s">
        <v>30</v>
      </c>
      <c r="B42" s="230">
        <v>1.0</v>
      </c>
      <c r="C42" s="222">
        <v>46249.0</v>
      </c>
    </row>
    <row r="43">
      <c r="A43" s="229" t="s">
        <v>65</v>
      </c>
      <c r="B43" s="230">
        <v>1.0</v>
      </c>
      <c r="C43" s="222">
        <v>46249.0</v>
      </c>
    </row>
    <row r="44">
      <c r="A44" s="229" t="s">
        <v>69</v>
      </c>
      <c r="B44" s="230">
        <v>1.0</v>
      </c>
      <c r="C44" s="222">
        <v>46249.0</v>
      </c>
    </row>
    <row r="45">
      <c r="A45" s="229" t="s">
        <v>46</v>
      </c>
      <c r="B45" s="230">
        <v>1.0</v>
      </c>
      <c r="C45" s="222">
        <v>46249.0</v>
      </c>
    </row>
    <row r="47">
      <c r="A47" s="231" t="s">
        <v>18</v>
      </c>
      <c r="B47" s="232">
        <v>11.0</v>
      </c>
      <c r="C47" s="222">
        <v>46250.0</v>
      </c>
    </row>
    <row r="48">
      <c r="A48" s="229" t="s">
        <v>20</v>
      </c>
      <c r="B48" s="230">
        <v>11.0</v>
      </c>
      <c r="C48" s="222">
        <v>46250.0</v>
      </c>
    </row>
    <row r="49">
      <c r="A49" s="229" t="s">
        <v>224</v>
      </c>
      <c r="B49" s="230">
        <v>10.0</v>
      </c>
      <c r="C49" s="222">
        <v>46250.0</v>
      </c>
    </row>
    <row r="50">
      <c r="A50" s="229" t="s">
        <v>32</v>
      </c>
      <c r="B50" s="230">
        <v>8.0</v>
      </c>
      <c r="C50" s="222">
        <v>46250.0</v>
      </c>
    </row>
    <row r="51">
      <c r="A51" s="229" t="s">
        <v>16</v>
      </c>
      <c r="B51" s="230">
        <v>8.0</v>
      </c>
      <c r="C51" s="222">
        <v>46250.0</v>
      </c>
    </row>
    <row r="52">
      <c r="A52" s="229" t="s">
        <v>308</v>
      </c>
      <c r="B52" s="230">
        <v>7.0</v>
      </c>
      <c r="C52" s="222">
        <v>46250.0</v>
      </c>
    </row>
    <row r="53">
      <c r="A53" s="229" t="s">
        <v>225</v>
      </c>
      <c r="B53" s="230">
        <v>5.0</v>
      </c>
      <c r="C53" s="222">
        <v>46250.0</v>
      </c>
    </row>
    <row r="54">
      <c r="A54" s="229" t="s">
        <v>24</v>
      </c>
      <c r="B54" s="230">
        <v>5.0</v>
      </c>
      <c r="C54" s="222">
        <v>46250.0</v>
      </c>
    </row>
    <row r="55">
      <c r="A55" s="229" t="s">
        <v>71</v>
      </c>
      <c r="B55" s="230">
        <v>4.0</v>
      </c>
      <c r="C55" s="222">
        <v>46250.0</v>
      </c>
    </row>
    <row r="56">
      <c r="A56" s="229" t="s">
        <v>14</v>
      </c>
      <c r="B56" s="230">
        <v>4.0</v>
      </c>
      <c r="C56" s="222">
        <v>46250.0</v>
      </c>
    </row>
    <row r="57">
      <c r="A57" s="229" t="s">
        <v>25</v>
      </c>
      <c r="B57" s="230">
        <v>3.0</v>
      </c>
      <c r="C57" s="222">
        <v>46250.0</v>
      </c>
    </row>
    <row r="58">
      <c r="A58" s="229" t="s">
        <v>307</v>
      </c>
      <c r="B58" s="230">
        <v>3.0</v>
      </c>
      <c r="C58" s="222">
        <v>46250.0</v>
      </c>
    </row>
    <row r="59">
      <c r="A59" s="229" t="s">
        <v>49</v>
      </c>
      <c r="B59" s="230">
        <v>3.0</v>
      </c>
      <c r="C59" s="222">
        <v>46250.0</v>
      </c>
    </row>
    <row r="60">
      <c r="A60" s="229" t="s">
        <v>52</v>
      </c>
      <c r="B60" s="230">
        <v>3.0</v>
      </c>
      <c r="C60" s="222">
        <v>46250.0</v>
      </c>
    </row>
    <row r="61">
      <c r="A61" s="229" t="s">
        <v>43</v>
      </c>
      <c r="B61" s="230">
        <v>3.0</v>
      </c>
      <c r="C61" s="222">
        <v>46250.0</v>
      </c>
    </row>
    <row r="62">
      <c r="A62" s="229" t="s">
        <v>21</v>
      </c>
      <c r="B62" s="230">
        <v>3.0</v>
      </c>
      <c r="C62" s="222">
        <v>46250.0</v>
      </c>
    </row>
    <row r="63">
      <c r="A63" s="229" t="s">
        <v>28</v>
      </c>
      <c r="B63" s="230">
        <v>3.0</v>
      </c>
      <c r="C63" s="222">
        <v>46250.0</v>
      </c>
    </row>
    <row r="64">
      <c r="A64" s="229" t="s">
        <v>37</v>
      </c>
      <c r="B64" s="230">
        <v>3.0</v>
      </c>
      <c r="C64" s="222">
        <v>46250.0</v>
      </c>
    </row>
    <row r="65">
      <c r="A65" s="229" t="s">
        <v>34</v>
      </c>
      <c r="B65" s="230">
        <v>3.0</v>
      </c>
      <c r="C65" s="222">
        <v>46250.0</v>
      </c>
    </row>
    <row r="66">
      <c r="A66" s="229" t="s">
        <v>69</v>
      </c>
      <c r="B66" s="230">
        <v>3.0</v>
      </c>
      <c r="C66" s="222">
        <v>46250.0</v>
      </c>
    </row>
    <row r="67">
      <c r="A67" s="229" t="s">
        <v>55</v>
      </c>
      <c r="B67" s="230">
        <v>2.0</v>
      </c>
      <c r="C67" s="222">
        <v>46250.0</v>
      </c>
    </row>
    <row r="68">
      <c r="A68" s="229" t="s">
        <v>26</v>
      </c>
      <c r="B68" s="230">
        <v>2.0</v>
      </c>
      <c r="C68" s="222">
        <v>46250.0</v>
      </c>
    </row>
    <row r="69">
      <c r="A69" s="229" t="s">
        <v>315</v>
      </c>
      <c r="B69" s="230">
        <v>1.0</v>
      </c>
      <c r="C69" s="222">
        <v>46250.0</v>
      </c>
    </row>
    <row r="70">
      <c r="A70" s="229" t="s">
        <v>73</v>
      </c>
      <c r="B70" s="230">
        <v>1.0</v>
      </c>
      <c r="C70" s="222">
        <v>46250.0</v>
      </c>
    </row>
    <row r="71">
      <c r="A71" s="229" t="s">
        <v>59</v>
      </c>
      <c r="B71" s="230">
        <v>1.0</v>
      </c>
      <c r="C71" s="222">
        <v>46250.0</v>
      </c>
    </row>
    <row r="72">
      <c r="A72" s="229" t="s">
        <v>64</v>
      </c>
      <c r="B72" s="230">
        <v>1.0</v>
      </c>
      <c r="C72" s="222">
        <v>46250.0</v>
      </c>
    </row>
    <row r="73">
      <c r="A73" s="229" t="s">
        <v>65</v>
      </c>
      <c r="B73" s="230">
        <v>1.0</v>
      </c>
      <c r="C73" s="222">
        <v>46250.0</v>
      </c>
    </row>
    <row r="74">
      <c r="A74" s="229" t="s">
        <v>67</v>
      </c>
      <c r="B74" s="230">
        <v>1.0</v>
      </c>
      <c r="C74" s="222">
        <v>46250.0</v>
      </c>
    </row>
    <row r="76">
      <c r="A76" s="231" t="s">
        <v>32</v>
      </c>
      <c r="B76" s="232">
        <v>11.0</v>
      </c>
      <c r="C76" s="222">
        <v>46251.0</v>
      </c>
    </row>
    <row r="77">
      <c r="A77" s="229" t="s">
        <v>14</v>
      </c>
      <c r="B77" s="230">
        <v>7.0</v>
      </c>
      <c r="C77" s="222">
        <v>46251.0</v>
      </c>
    </row>
    <row r="78">
      <c r="A78" s="229" t="s">
        <v>55</v>
      </c>
      <c r="B78" s="230">
        <v>4.0</v>
      </c>
      <c r="C78" s="222">
        <v>46251.0</v>
      </c>
    </row>
    <row r="79">
      <c r="A79" s="229" t="s">
        <v>49</v>
      </c>
      <c r="B79" s="230">
        <v>3.0</v>
      </c>
      <c r="C79" s="222">
        <v>46251.0</v>
      </c>
    </row>
    <row r="80">
      <c r="A80" s="229" t="s">
        <v>20</v>
      </c>
      <c r="B80" s="230">
        <v>3.0</v>
      </c>
      <c r="C80" s="222">
        <v>46251.0</v>
      </c>
    </row>
    <row r="81">
      <c r="A81" s="229" t="s">
        <v>225</v>
      </c>
      <c r="B81" s="230">
        <v>3.0</v>
      </c>
      <c r="C81" s="222">
        <v>46251.0</v>
      </c>
    </row>
    <row r="82">
      <c r="A82" s="229" t="s">
        <v>224</v>
      </c>
      <c r="B82" s="230">
        <v>3.0</v>
      </c>
      <c r="C82" s="222">
        <v>46251.0</v>
      </c>
    </row>
    <row r="83">
      <c r="A83" s="229" t="s">
        <v>24</v>
      </c>
      <c r="B83" s="230">
        <v>3.0</v>
      </c>
      <c r="C83" s="222">
        <v>46251.0</v>
      </c>
    </row>
    <row r="84">
      <c r="A84" s="229" t="s">
        <v>25</v>
      </c>
      <c r="B84" s="230">
        <v>2.0</v>
      </c>
      <c r="C84" s="222">
        <v>46251.0</v>
      </c>
    </row>
    <row r="85">
      <c r="A85" s="229" t="s">
        <v>21</v>
      </c>
      <c r="B85" s="230">
        <v>2.0</v>
      </c>
      <c r="C85" s="222">
        <v>46251.0</v>
      </c>
    </row>
    <row r="86">
      <c r="A86" s="229" t="s">
        <v>16</v>
      </c>
      <c r="B86" s="230">
        <v>2.0</v>
      </c>
      <c r="C86" s="222">
        <v>46251.0</v>
      </c>
    </row>
    <row r="87">
      <c r="A87" s="229" t="s">
        <v>59</v>
      </c>
      <c r="B87" s="230">
        <v>2.0</v>
      </c>
      <c r="C87" s="222">
        <v>46251.0</v>
      </c>
    </row>
    <row r="88">
      <c r="A88" s="229" t="s">
        <v>34</v>
      </c>
      <c r="B88" s="230">
        <v>2.0</v>
      </c>
      <c r="C88" s="222">
        <v>46251.0</v>
      </c>
    </row>
    <row r="89">
      <c r="A89" s="229" t="s">
        <v>307</v>
      </c>
      <c r="B89" s="230">
        <v>1.0</v>
      </c>
      <c r="C89" s="222">
        <v>46251.0</v>
      </c>
    </row>
    <row r="90">
      <c r="A90" s="229" t="s">
        <v>52</v>
      </c>
      <c r="B90" s="230">
        <v>1.0</v>
      </c>
      <c r="C90" s="222">
        <v>46251.0</v>
      </c>
    </row>
    <row r="91">
      <c r="A91" s="229" t="s">
        <v>43</v>
      </c>
      <c r="B91" s="230">
        <v>1.0</v>
      </c>
      <c r="C91" s="222">
        <v>46251.0</v>
      </c>
    </row>
    <row r="92">
      <c r="A92" s="229" t="s">
        <v>28</v>
      </c>
      <c r="B92" s="230">
        <v>1.0</v>
      </c>
      <c r="C92" s="222">
        <v>46251.0</v>
      </c>
    </row>
    <row r="93">
      <c r="A93" s="229" t="s">
        <v>30</v>
      </c>
      <c r="B93" s="230">
        <v>1.0</v>
      </c>
      <c r="C93" s="222">
        <v>46251.0</v>
      </c>
    </row>
    <row r="94">
      <c r="A94" s="229" t="s">
        <v>67</v>
      </c>
      <c r="B94" s="230">
        <v>1.0</v>
      </c>
      <c r="C94" s="222">
        <v>46251.0</v>
      </c>
    </row>
    <row r="95">
      <c r="A95" s="229" t="s">
        <v>58</v>
      </c>
      <c r="B95" s="230">
        <v>1.0</v>
      </c>
      <c r="C95" s="222">
        <v>46251.0</v>
      </c>
    </row>
    <row r="97">
      <c r="A97" s="231" t="s">
        <v>32</v>
      </c>
      <c r="B97" s="232">
        <v>8.0</v>
      </c>
      <c r="C97" s="222">
        <v>46252.0</v>
      </c>
    </row>
    <row r="98">
      <c r="A98" s="229" t="s">
        <v>16</v>
      </c>
      <c r="B98" s="230">
        <v>5.0</v>
      </c>
      <c r="C98" s="222">
        <v>46252.0</v>
      </c>
    </row>
    <row r="99">
      <c r="A99" s="229" t="s">
        <v>225</v>
      </c>
      <c r="B99" s="230">
        <v>4.0</v>
      </c>
      <c r="C99" s="222">
        <v>46252.0</v>
      </c>
    </row>
    <row r="100">
      <c r="A100" s="229" t="s">
        <v>14</v>
      </c>
      <c r="B100" s="230">
        <v>4.0</v>
      </c>
      <c r="C100" s="222">
        <v>46252.0</v>
      </c>
    </row>
    <row r="101">
      <c r="A101" s="229" t="s">
        <v>49</v>
      </c>
      <c r="B101" s="230">
        <v>3.0</v>
      </c>
      <c r="C101" s="222">
        <v>46252.0</v>
      </c>
    </row>
    <row r="102">
      <c r="A102" s="229" t="s">
        <v>43</v>
      </c>
      <c r="B102" s="230">
        <v>3.0</v>
      </c>
      <c r="C102" s="222">
        <v>46252.0</v>
      </c>
    </row>
    <row r="103">
      <c r="A103" s="229" t="s">
        <v>224</v>
      </c>
      <c r="B103" s="230">
        <v>3.0</v>
      </c>
      <c r="C103" s="222">
        <v>46252.0</v>
      </c>
    </row>
    <row r="104">
      <c r="A104" s="229" t="s">
        <v>25</v>
      </c>
      <c r="B104" s="230">
        <v>2.0</v>
      </c>
      <c r="C104" s="222">
        <v>46252.0</v>
      </c>
    </row>
    <row r="105">
      <c r="A105" s="229" t="s">
        <v>222</v>
      </c>
      <c r="B105" s="230">
        <v>2.0</v>
      </c>
      <c r="C105" s="222">
        <v>46252.0</v>
      </c>
    </row>
    <row r="106">
      <c r="A106" s="229" t="s">
        <v>323</v>
      </c>
      <c r="B106" s="230">
        <v>2.0</v>
      </c>
      <c r="C106" s="222">
        <v>46252.0</v>
      </c>
    </row>
    <row r="107">
      <c r="A107" s="229" t="s">
        <v>18</v>
      </c>
      <c r="B107" s="230">
        <v>2.0</v>
      </c>
      <c r="C107" s="222">
        <v>46252.0</v>
      </c>
    </row>
    <row r="108">
      <c r="A108" s="229" t="s">
        <v>21</v>
      </c>
      <c r="B108" s="230">
        <v>1.0</v>
      </c>
      <c r="C108" s="222">
        <v>46252.0</v>
      </c>
    </row>
    <row r="109">
      <c r="A109" s="229" t="s">
        <v>20</v>
      </c>
      <c r="B109" s="230">
        <v>1.0</v>
      </c>
      <c r="C109" s="222">
        <v>46252.0</v>
      </c>
    </row>
    <row r="110">
      <c r="A110" s="229" t="s">
        <v>24</v>
      </c>
      <c r="B110" s="230">
        <v>1.0</v>
      </c>
      <c r="C110" s="222">
        <v>46252.0</v>
      </c>
    </row>
    <row r="111">
      <c r="A111" s="229" t="s">
        <v>30</v>
      </c>
      <c r="B111" s="230">
        <v>1.0</v>
      </c>
      <c r="C111" s="222">
        <v>46252.0</v>
      </c>
    </row>
    <row r="113">
      <c r="A113" s="231" t="s">
        <v>25</v>
      </c>
      <c r="B113" s="232">
        <v>10.0</v>
      </c>
      <c r="C113" s="222">
        <v>46253.0</v>
      </c>
    </row>
    <row r="114">
      <c r="A114" s="229" t="s">
        <v>18</v>
      </c>
      <c r="B114" s="230">
        <v>7.0</v>
      </c>
      <c r="C114" s="222">
        <v>46253.0</v>
      </c>
    </row>
    <row r="115">
      <c r="A115" s="229" t="s">
        <v>43</v>
      </c>
      <c r="B115" s="230">
        <v>6.0</v>
      </c>
      <c r="C115" s="222">
        <v>46253.0</v>
      </c>
    </row>
    <row r="116">
      <c r="A116" s="229" t="s">
        <v>30</v>
      </c>
      <c r="B116" s="230">
        <v>5.0</v>
      </c>
      <c r="C116" s="222">
        <v>46253.0</v>
      </c>
    </row>
    <row r="117">
      <c r="A117" s="229" t="s">
        <v>21</v>
      </c>
      <c r="B117" s="230">
        <v>4.0</v>
      </c>
      <c r="C117" s="222">
        <v>46253.0</v>
      </c>
    </row>
    <row r="118">
      <c r="A118" s="229" t="s">
        <v>20</v>
      </c>
      <c r="B118" s="230">
        <v>4.0</v>
      </c>
      <c r="C118" s="222">
        <v>46253.0</v>
      </c>
    </row>
    <row r="119">
      <c r="A119" s="229" t="s">
        <v>224</v>
      </c>
      <c r="B119" s="230">
        <v>4.0</v>
      </c>
      <c r="C119" s="222">
        <v>46253.0</v>
      </c>
    </row>
    <row r="120">
      <c r="A120" s="229" t="s">
        <v>32</v>
      </c>
      <c r="B120" s="230">
        <v>3.0</v>
      </c>
      <c r="C120" s="222">
        <v>46253.0</v>
      </c>
    </row>
    <row r="121">
      <c r="A121" s="229" t="s">
        <v>49</v>
      </c>
      <c r="B121" s="230">
        <v>3.0</v>
      </c>
      <c r="C121" s="222">
        <v>46253.0</v>
      </c>
    </row>
    <row r="122">
      <c r="A122" s="229" t="s">
        <v>26</v>
      </c>
      <c r="B122" s="230">
        <v>3.0</v>
      </c>
      <c r="C122" s="222">
        <v>46253.0</v>
      </c>
    </row>
    <row r="123">
      <c r="A123" s="229" t="s">
        <v>16</v>
      </c>
      <c r="B123" s="230">
        <v>2.0</v>
      </c>
      <c r="C123" s="222">
        <v>46253.0</v>
      </c>
    </row>
    <row r="124">
      <c r="A124" s="229" t="s">
        <v>14</v>
      </c>
      <c r="B124" s="230">
        <v>2.0</v>
      </c>
      <c r="C124" s="222">
        <v>46253.0</v>
      </c>
    </row>
    <row r="125">
      <c r="A125" s="229" t="s">
        <v>39</v>
      </c>
      <c r="B125" s="230">
        <v>1.0</v>
      </c>
      <c r="C125" s="222">
        <v>46253.0</v>
      </c>
    </row>
    <row r="126">
      <c r="A126" s="229" t="s">
        <v>221</v>
      </c>
      <c r="B126" s="230">
        <v>1.0</v>
      </c>
      <c r="C126" s="222">
        <v>46253.0</v>
      </c>
    </row>
    <row r="127">
      <c r="A127" s="229" t="s">
        <v>222</v>
      </c>
      <c r="B127" s="230">
        <v>1.0</v>
      </c>
      <c r="C127" s="222">
        <v>46253.0</v>
      </c>
    </row>
    <row r="128">
      <c r="A128" s="229" t="s">
        <v>73</v>
      </c>
      <c r="B128" s="230">
        <v>1.0</v>
      </c>
      <c r="C128" s="222">
        <v>46253.0</v>
      </c>
    </row>
    <row r="129">
      <c r="A129" s="229" t="s">
        <v>52</v>
      </c>
      <c r="B129" s="230">
        <v>1.0</v>
      </c>
      <c r="C129" s="222">
        <v>46253.0</v>
      </c>
    </row>
    <row r="130">
      <c r="A130" s="229" t="s">
        <v>323</v>
      </c>
      <c r="B130" s="230">
        <v>1.0</v>
      </c>
      <c r="C130" s="222">
        <v>46253.0</v>
      </c>
    </row>
    <row r="131">
      <c r="A131" s="229" t="s">
        <v>28</v>
      </c>
      <c r="B131" s="230">
        <v>1.0</v>
      </c>
      <c r="C131" s="222">
        <v>46253.0</v>
      </c>
    </row>
    <row r="132">
      <c r="A132" s="229" t="s">
        <v>225</v>
      </c>
      <c r="B132" s="230">
        <v>1.0</v>
      </c>
      <c r="C132" s="222">
        <v>46253.0</v>
      </c>
    </row>
    <row r="133">
      <c r="A133" s="229" t="s">
        <v>59</v>
      </c>
      <c r="B133" s="230">
        <v>1.0</v>
      </c>
      <c r="C133" s="222">
        <v>46253.0</v>
      </c>
    </row>
    <row r="134">
      <c r="A134" s="229" t="s">
        <v>64</v>
      </c>
      <c r="B134" s="230">
        <v>1.0</v>
      </c>
      <c r="C134" s="222">
        <v>46253.0</v>
      </c>
    </row>
    <row r="135">
      <c r="A135" s="229" t="s">
        <v>34</v>
      </c>
      <c r="B135" s="230">
        <v>1.0</v>
      </c>
      <c r="C135" s="222">
        <v>46253.0</v>
      </c>
    </row>
    <row r="136">
      <c r="A136" s="229" t="s">
        <v>62</v>
      </c>
      <c r="B136" s="230">
        <v>1.0</v>
      </c>
      <c r="C136" s="222">
        <v>46253.0</v>
      </c>
    </row>
    <row r="137">
      <c r="A137" s="229" t="s">
        <v>65</v>
      </c>
      <c r="B137" s="230">
        <v>1.0</v>
      </c>
      <c r="C137" s="222">
        <v>46253.0</v>
      </c>
    </row>
    <row r="138">
      <c r="A138" s="229" t="s">
        <v>69</v>
      </c>
      <c r="B138" s="230">
        <v>1.0</v>
      </c>
      <c r="C138" s="222">
        <v>46253.0</v>
      </c>
    </row>
    <row r="140">
      <c r="A140" s="231" t="s">
        <v>18</v>
      </c>
      <c r="B140" s="232">
        <v>6.0</v>
      </c>
      <c r="C140" s="222">
        <v>46254.0</v>
      </c>
    </row>
    <row r="141">
      <c r="A141" s="229" t="s">
        <v>24</v>
      </c>
      <c r="B141" s="230">
        <v>3.0</v>
      </c>
      <c r="C141" s="222">
        <v>46254.0</v>
      </c>
    </row>
    <row r="142">
      <c r="A142" s="229" t="s">
        <v>25</v>
      </c>
      <c r="B142" s="230">
        <v>2.0</v>
      </c>
      <c r="C142" s="222">
        <v>46254.0</v>
      </c>
    </row>
    <row r="143">
      <c r="A143" s="229" t="s">
        <v>49</v>
      </c>
      <c r="B143" s="230">
        <v>1.0</v>
      </c>
      <c r="C143" s="222">
        <v>46254.0</v>
      </c>
    </row>
    <row r="144">
      <c r="A144" s="229" t="s">
        <v>55</v>
      </c>
      <c r="B144" s="230">
        <v>1.0</v>
      </c>
      <c r="C144" s="222">
        <v>46254.0</v>
      </c>
    </row>
    <row r="145">
      <c r="A145" s="229" t="s">
        <v>20</v>
      </c>
      <c r="B145" s="230">
        <v>1.0</v>
      </c>
      <c r="C145" s="222">
        <v>46254.0</v>
      </c>
    </row>
    <row r="146">
      <c r="A146" s="229" t="s">
        <v>225</v>
      </c>
      <c r="B146" s="230">
        <v>1.0</v>
      </c>
      <c r="C146" s="222">
        <v>46254.0</v>
      </c>
    </row>
    <row r="147">
      <c r="A147" s="229" t="s">
        <v>37</v>
      </c>
      <c r="B147" s="230">
        <v>1.0</v>
      </c>
      <c r="C147" s="222">
        <v>46254.0</v>
      </c>
    </row>
    <row r="148">
      <c r="A148" s="229" t="s">
        <v>30</v>
      </c>
      <c r="B148" s="230">
        <v>1.0</v>
      </c>
      <c r="C148" s="222">
        <v>46254.0</v>
      </c>
    </row>
    <row r="149">
      <c r="A149" s="229" t="s">
        <v>227</v>
      </c>
      <c r="B149" s="230">
        <v>1.0</v>
      </c>
      <c r="C149" s="222">
        <v>46254.0</v>
      </c>
    </row>
    <row r="151">
      <c r="A151" s="231" t="s">
        <v>18</v>
      </c>
      <c r="B151" s="232">
        <v>6.0</v>
      </c>
      <c r="C151" s="222">
        <v>46255.0</v>
      </c>
    </row>
    <row r="152">
      <c r="A152" s="229" t="s">
        <v>16</v>
      </c>
      <c r="B152" s="230">
        <v>6.0</v>
      </c>
      <c r="C152" s="222">
        <v>46255.0</v>
      </c>
    </row>
    <row r="153">
      <c r="A153" s="229" t="s">
        <v>20</v>
      </c>
      <c r="B153" s="230">
        <v>5.0</v>
      </c>
      <c r="C153" s="222">
        <v>46255.0</v>
      </c>
    </row>
    <row r="154">
      <c r="A154" s="229" t="s">
        <v>21</v>
      </c>
      <c r="B154" s="230">
        <v>4.0</v>
      </c>
      <c r="C154" s="222">
        <v>46255.0</v>
      </c>
    </row>
    <row r="155">
      <c r="A155" s="229" t="s">
        <v>225</v>
      </c>
      <c r="B155" s="230">
        <v>4.0</v>
      </c>
      <c r="C155" s="222">
        <v>46255.0</v>
      </c>
    </row>
    <row r="156">
      <c r="A156" s="229" t="s">
        <v>71</v>
      </c>
      <c r="B156" s="230">
        <v>4.0</v>
      </c>
      <c r="C156" s="222">
        <v>46255.0</v>
      </c>
    </row>
    <row r="157">
      <c r="A157" s="229" t="s">
        <v>14</v>
      </c>
      <c r="B157" s="230">
        <v>4.0</v>
      </c>
      <c r="C157" s="222">
        <v>46255.0</v>
      </c>
    </row>
    <row r="158">
      <c r="A158" s="229" t="s">
        <v>49</v>
      </c>
      <c r="B158" s="230">
        <v>3.0</v>
      </c>
      <c r="C158" s="222">
        <v>46255.0</v>
      </c>
    </row>
    <row r="159">
      <c r="A159" s="229" t="s">
        <v>221</v>
      </c>
      <c r="B159" s="230">
        <v>2.0</v>
      </c>
      <c r="C159" s="222">
        <v>46255.0</v>
      </c>
    </row>
    <row r="160">
      <c r="A160" s="229" t="s">
        <v>222</v>
      </c>
      <c r="B160" s="230">
        <v>2.0</v>
      </c>
      <c r="C160" s="222">
        <v>46255.0</v>
      </c>
    </row>
    <row r="161">
      <c r="A161" s="229" t="s">
        <v>55</v>
      </c>
      <c r="B161" s="230">
        <v>2.0</v>
      </c>
      <c r="C161" s="222">
        <v>46255.0</v>
      </c>
    </row>
    <row r="162">
      <c r="A162" s="229" t="s">
        <v>59</v>
      </c>
      <c r="B162" s="230">
        <v>2.0</v>
      </c>
      <c r="C162" s="222">
        <v>46255.0</v>
      </c>
    </row>
    <row r="163">
      <c r="A163" s="229" t="s">
        <v>224</v>
      </c>
      <c r="B163" s="230">
        <v>2.0</v>
      </c>
      <c r="C163" s="222">
        <v>46255.0</v>
      </c>
    </row>
    <row r="164">
      <c r="A164" s="229" t="s">
        <v>25</v>
      </c>
      <c r="B164" s="230">
        <v>1.0</v>
      </c>
      <c r="C164" s="222">
        <v>46255.0</v>
      </c>
    </row>
    <row r="165">
      <c r="A165" s="229" t="s">
        <v>73</v>
      </c>
      <c r="B165" s="230">
        <v>1.0</v>
      </c>
      <c r="C165" s="222">
        <v>46255.0</v>
      </c>
    </row>
    <row r="166">
      <c r="A166" s="229" t="s">
        <v>64</v>
      </c>
      <c r="B166" s="230">
        <v>1.0</v>
      </c>
      <c r="C166" s="222">
        <v>46255.0</v>
      </c>
    </row>
    <row r="167">
      <c r="A167" s="229" t="s">
        <v>24</v>
      </c>
      <c r="B167" s="230">
        <v>1.0</v>
      </c>
      <c r="C167" s="222">
        <v>46255.0</v>
      </c>
    </row>
    <row r="168">
      <c r="A168" s="229" t="s">
        <v>37</v>
      </c>
      <c r="B168" s="230">
        <v>1.0</v>
      </c>
      <c r="C168" s="222">
        <v>46255.0</v>
      </c>
    </row>
    <row r="169">
      <c r="A169" s="229" t="s">
        <v>30</v>
      </c>
      <c r="B169" s="230">
        <v>1.0</v>
      </c>
      <c r="C169" s="222">
        <v>46255.0</v>
      </c>
    </row>
    <row r="170">
      <c r="A170" s="229" t="s">
        <v>62</v>
      </c>
      <c r="B170" s="230">
        <v>1.0</v>
      </c>
      <c r="C170" s="222">
        <v>46255.0</v>
      </c>
    </row>
    <row r="171">
      <c r="A171" s="229" t="s">
        <v>67</v>
      </c>
      <c r="B171" s="230">
        <v>1.0</v>
      </c>
      <c r="C171" s="222">
        <v>46255.0</v>
      </c>
    </row>
    <row r="173">
      <c r="A173" s="314" t="s">
        <v>32</v>
      </c>
      <c r="B173" s="232">
        <v>11.0</v>
      </c>
      <c r="C173" s="222">
        <v>46256.0</v>
      </c>
    </row>
    <row r="174">
      <c r="A174" s="233" t="s">
        <v>124</v>
      </c>
      <c r="B174" s="230">
        <v>9.0</v>
      </c>
      <c r="C174" s="222">
        <v>46256.0</v>
      </c>
    </row>
    <row r="175">
      <c r="A175" s="233" t="s">
        <v>14</v>
      </c>
      <c r="B175" s="230">
        <v>8.0</v>
      </c>
      <c r="C175" s="222">
        <v>46256.0</v>
      </c>
    </row>
    <row r="176">
      <c r="A176" s="233" t="s">
        <v>24</v>
      </c>
      <c r="B176" s="230">
        <v>7.0</v>
      </c>
      <c r="C176" s="222">
        <v>46256.0</v>
      </c>
    </row>
    <row r="177">
      <c r="A177" s="233" t="s">
        <v>224</v>
      </c>
      <c r="B177" s="230">
        <v>7.0</v>
      </c>
      <c r="C177" s="222">
        <v>46256.0</v>
      </c>
    </row>
    <row r="178">
      <c r="A178" s="233" t="s">
        <v>30</v>
      </c>
      <c r="B178" s="230">
        <v>6.0</v>
      </c>
      <c r="C178" s="222">
        <v>46256.0</v>
      </c>
    </row>
    <row r="179">
      <c r="A179" s="233" t="s">
        <v>25</v>
      </c>
      <c r="B179" s="230">
        <v>6.0</v>
      </c>
      <c r="C179" s="222">
        <v>46256.0</v>
      </c>
    </row>
    <row r="180">
      <c r="A180" s="233" t="s">
        <v>43</v>
      </c>
      <c r="B180" s="230">
        <v>5.0</v>
      </c>
      <c r="C180" s="222">
        <v>46256.0</v>
      </c>
    </row>
    <row r="181">
      <c r="A181" s="233" t="s">
        <v>20</v>
      </c>
      <c r="B181" s="230">
        <v>5.0</v>
      </c>
      <c r="C181" s="222">
        <v>46256.0</v>
      </c>
    </row>
    <row r="182">
      <c r="A182" s="233" t="s">
        <v>16</v>
      </c>
      <c r="B182" s="230">
        <v>5.0</v>
      </c>
      <c r="C182" s="222">
        <v>46256.0</v>
      </c>
    </row>
    <row r="183">
      <c r="A183" s="233" t="s">
        <v>225</v>
      </c>
      <c r="B183" s="230">
        <v>5.0</v>
      </c>
      <c r="C183" s="222">
        <v>46256.0</v>
      </c>
    </row>
    <row r="184">
      <c r="A184" s="233" t="s">
        <v>71</v>
      </c>
      <c r="B184" s="230">
        <v>4.0</v>
      </c>
      <c r="C184" s="222">
        <v>46256.0</v>
      </c>
    </row>
    <row r="185">
      <c r="A185" s="233" t="s">
        <v>221</v>
      </c>
      <c r="B185" s="230">
        <v>4.0</v>
      </c>
      <c r="C185" s="222">
        <v>46256.0</v>
      </c>
    </row>
    <row r="186">
      <c r="A186" s="233" t="s">
        <v>21</v>
      </c>
      <c r="B186" s="230">
        <v>3.0</v>
      </c>
      <c r="C186" s="222">
        <v>46256.0</v>
      </c>
    </row>
    <row r="187">
      <c r="A187" s="233" t="s">
        <v>37</v>
      </c>
      <c r="B187" s="230">
        <v>3.0</v>
      </c>
      <c r="C187" s="222">
        <v>46256.0</v>
      </c>
    </row>
    <row r="188">
      <c r="A188" s="233" t="s">
        <v>222</v>
      </c>
      <c r="B188" s="230">
        <v>3.0</v>
      </c>
      <c r="C188" s="222">
        <v>46256.0</v>
      </c>
    </row>
    <row r="189">
      <c r="A189" s="233" t="s">
        <v>49</v>
      </c>
      <c r="B189" s="230">
        <v>2.0</v>
      </c>
      <c r="C189" s="222">
        <v>46256.0</v>
      </c>
    </row>
    <row r="190">
      <c r="A190" s="233" t="s">
        <v>73</v>
      </c>
      <c r="B190" s="230">
        <v>2.0</v>
      </c>
      <c r="C190" s="222">
        <v>46256.0</v>
      </c>
    </row>
    <row r="191">
      <c r="A191" s="233" t="s">
        <v>52</v>
      </c>
      <c r="B191" s="230">
        <v>2.0</v>
      </c>
      <c r="C191" s="222">
        <v>46256.0</v>
      </c>
    </row>
    <row r="192">
      <c r="A192" s="233" t="s">
        <v>34</v>
      </c>
      <c r="B192" s="230">
        <v>2.0</v>
      </c>
      <c r="C192" s="222">
        <v>46256.0</v>
      </c>
    </row>
    <row r="193">
      <c r="A193" s="233" t="s">
        <v>226</v>
      </c>
      <c r="B193" s="230">
        <v>2.0</v>
      </c>
      <c r="C193" s="222">
        <v>46256.0</v>
      </c>
    </row>
    <row r="194">
      <c r="A194" s="233" t="s">
        <v>55</v>
      </c>
      <c r="B194" s="230">
        <v>1.0</v>
      </c>
      <c r="C194" s="222">
        <v>46256.0</v>
      </c>
    </row>
    <row r="195">
      <c r="A195" s="233" t="s">
        <v>26</v>
      </c>
      <c r="B195" s="230">
        <v>1.0</v>
      </c>
      <c r="C195" s="222">
        <v>46256.0</v>
      </c>
    </row>
    <row r="196">
      <c r="A196" s="233" t="s">
        <v>28</v>
      </c>
      <c r="B196" s="230">
        <v>1.0</v>
      </c>
      <c r="C196" s="222">
        <v>46256.0</v>
      </c>
    </row>
    <row r="197">
      <c r="A197" s="233" t="s">
        <v>354</v>
      </c>
      <c r="B197" s="230">
        <v>1.0</v>
      </c>
      <c r="C197" s="222">
        <v>46256.0</v>
      </c>
    </row>
    <row r="198">
      <c r="A198" s="233" t="s">
        <v>65</v>
      </c>
      <c r="B198" s="230">
        <v>1.0</v>
      </c>
      <c r="C198" s="222">
        <v>46256.0</v>
      </c>
    </row>
    <row r="199">
      <c r="A199" s="233" t="s">
        <v>69</v>
      </c>
      <c r="B199" s="230">
        <v>1.0</v>
      </c>
      <c r="C199" s="222">
        <v>46256.0</v>
      </c>
    </row>
    <row r="200">
      <c r="A200" s="233" t="s">
        <v>227</v>
      </c>
      <c r="B200" s="230">
        <v>1.0</v>
      </c>
      <c r="C200" s="222">
        <v>46256.0</v>
      </c>
    </row>
    <row r="201">
      <c r="A201" s="229"/>
      <c r="B201" s="230"/>
      <c r="C201" s="222"/>
    </row>
    <row r="202">
      <c r="A202" s="229" t="s">
        <v>32</v>
      </c>
      <c r="B202" s="230">
        <v>4.0</v>
      </c>
      <c r="C202" s="222">
        <v>46257.0</v>
      </c>
    </row>
    <row r="203">
      <c r="A203" s="7" t="s">
        <v>18</v>
      </c>
      <c r="B203" s="7">
        <v>4.0</v>
      </c>
      <c r="C203" s="222">
        <v>46257.0</v>
      </c>
    </row>
    <row r="204">
      <c r="A204" s="7" t="s">
        <v>20</v>
      </c>
      <c r="B204" s="7">
        <v>4.0</v>
      </c>
      <c r="C204" s="222">
        <v>46257.0</v>
      </c>
    </row>
    <row r="205">
      <c r="A205" s="7" t="s">
        <v>49</v>
      </c>
      <c r="B205" s="7">
        <v>3.0</v>
      </c>
      <c r="C205" s="222">
        <v>46257.0</v>
      </c>
    </row>
    <row r="206">
      <c r="A206" s="7" t="s">
        <v>225</v>
      </c>
      <c r="B206" s="7">
        <v>3.0</v>
      </c>
      <c r="C206" s="222">
        <v>46257.0</v>
      </c>
    </row>
    <row r="207">
      <c r="A207" s="7" t="s">
        <v>16</v>
      </c>
      <c r="B207" s="7">
        <v>3.0</v>
      </c>
      <c r="C207" s="222">
        <v>46257.0</v>
      </c>
    </row>
    <row r="208">
      <c r="A208" s="7" t="s">
        <v>69</v>
      </c>
      <c r="B208" s="7">
        <v>3.0</v>
      </c>
      <c r="C208" s="222">
        <v>46257.0</v>
      </c>
    </row>
    <row r="209">
      <c r="A209" s="7" t="s">
        <v>26</v>
      </c>
      <c r="B209" s="7">
        <v>2.0</v>
      </c>
      <c r="C209" s="222">
        <v>46257.0</v>
      </c>
    </row>
    <row r="210">
      <c r="A210" s="7" t="s">
        <v>21</v>
      </c>
      <c r="B210" s="7">
        <v>2.0</v>
      </c>
      <c r="C210" s="222">
        <v>46257.0</v>
      </c>
    </row>
    <row r="211">
      <c r="A211" s="7" t="s">
        <v>224</v>
      </c>
      <c r="B211" s="7">
        <v>2.0</v>
      </c>
      <c r="C211" s="222">
        <v>46257.0</v>
      </c>
    </row>
    <row r="212">
      <c r="A212" s="7" t="s">
        <v>124</v>
      </c>
      <c r="B212" s="7">
        <v>1.0</v>
      </c>
      <c r="C212" s="222">
        <v>46257.0</v>
      </c>
    </row>
    <row r="213">
      <c r="A213" s="7" t="s">
        <v>14</v>
      </c>
      <c r="B213" s="7">
        <v>1.0</v>
      </c>
      <c r="C213" s="222">
        <v>46257.0</v>
      </c>
    </row>
    <row r="214">
      <c r="A214" s="7" t="s">
        <v>24</v>
      </c>
      <c r="B214" s="7">
        <v>1.0</v>
      </c>
      <c r="C214" s="222">
        <v>46257.0</v>
      </c>
    </row>
    <row r="215">
      <c r="A215" s="7" t="s">
        <v>37</v>
      </c>
      <c r="B215" s="7">
        <v>1.0</v>
      </c>
      <c r="C215" s="222">
        <v>46257.0</v>
      </c>
    </row>
    <row r="216">
      <c r="A216" s="7" t="s">
        <v>62</v>
      </c>
      <c r="B216" s="7">
        <v>1.0</v>
      </c>
      <c r="C216" s="222">
        <v>46257.0</v>
      </c>
    </row>
    <row r="217">
      <c r="C217" s="222"/>
    </row>
    <row r="218">
      <c r="A218" s="231" t="s">
        <v>105</v>
      </c>
      <c r="B218" s="232">
        <v>6.0</v>
      </c>
      <c r="C218" s="222">
        <v>46258.0</v>
      </c>
    </row>
    <row r="219">
      <c r="A219" s="229" t="s">
        <v>108</v>
      </c>
      <c r="B219" s="230">
        <v>4.0</v>
      </c>
      <c r="C219" s="222">
        <v>46258.0</v>
      </c>
    </row>
    <row r="220">
      <c r="A220" s="229" t="s">
        <v>124</v>
      </c>
      <c r="B220" s="230">
        <v>4.0</v>
      </c>
      <c r="C220" s="222">
        <v>46258.0</v>
      </c>
    </row>
    <row r="221">
      <c r="A221" s="229" t="s">
        <v>224</v>
      </c>
      <c r="B221" s="230">
        <v>3.0</v>
      </c>
      <c r="C221" s="222">
        <v>46258.0</v>
      </c>
    </row>
    <row r="222">
      <c r="A222" s="229" t="s">
        <v>34</v>
      </c>
      <c r="B222" s="230">
        <v>3.0</v>
      </c>
      <c r="C222" s="222">
        <v>46258.0</v>
      </c>
    </row>
    <row r="223">
      <c r="A223" s="229" t="s">
        <v>25</v>
      </c>
      <c r="B223" s="230">
        <v>2.0</v>
      </c>
      <c r="C223" s="222">
        <v>46258.0</v>
      </c>
    </row>
    <row r="224">
      <c r="A224" s="229" t="s">
        <v>49</v>
      </c>
      <c r="B224" s="230">
        <v>2.0</v>
      </c>
      <c r="C224" s="222">
        <v>46258.0</v>
      </c>
    </row>
    <row r="225">
      <c r="A225" s="229" t="s">
        <v>26</v>
      </c>
      <c r="B225" s="230">
        <v>2.0</v>
      </c>
      <c r="C225" s="222">
        <v>46258.0</v>
      </c>
    </row>
    <row r="226">
      <c r="A226" s="229" t="s">
        <v>20</v>
      </c>
      <c r="B226" s="230">
        <v>2.0</v>
      </c>
      <c r="C226" s="222">
        <v>46258.0</v>
      </c>
    </row>
    <row r="227">
      <c r="A227" s="229" t="s">
        <v>14</v>
      </c>
      <c r="B227" s="230">
        <v>2.0</v>
      </c>
      <c r="C227" s="222">
        <v>46258.0</v>
      </c>
    </row>
    <row r="228">
      <c r="A228" s="229" t="s">
        <v>32</v>
      </c>
      <c r="B228" s="230">
        <v>1.0</v>
      </c>
      <c r="C228" s="222">
        <v>46258.0</v>
      </c>
    </row>
    <row r="229">
      <c r="A229" s="229" t="s">
        <v>18</v>
      </c>
      <c r="B229" s="230">
        <v>1.0</v>
      </c>
      <c r="C229" s="222">
        <v>46258.0</v>
      </c>
    </row>
    <row r="230">
      <c r="A230" s="229" t="s">
        <v>21</v>
      </c>
      <c r="B230" s="230">
        <v>1.0</v>
      </c>
      <c r="C230" s="222">
        <v>46258.0</v>
      </c>
    </row>
    <row r="231">
      <c r="A231" s="229" t="s">
        <v>225</v>
      </c>
      <c r="B231" s="230">
        <v>1.0</v>
      </c>
      <c r="C231" s="222">
        <v>46258.0</v>
      </c>
    </row>
    <row r="232">
      <c r="A232" s="229" t="s">
        <v>16</v>
      </c>
      <c r="B232" s="230">
        <v>1.0</v>
      </c>
      <c r="C232" s="222">
        <v>46258.0</v>
      </c>
    </row>
    <row r="233">
      <c r="A233" s="229" t="s">
        <v>64</v>
      </c>
      <c r="B233" s="230">
        <v>1.0</v>
      </c>
      <c r="C233" s="222">
        <v>46258.0</v>
      </c>
    </row>
    <row r="234">
      <c r="A234" s="229" t="s">
        <v>37</v>
      </c>
      <c r="B234" s="230">
        <v>1.0</v>
      </c>
      <c r="C234" s="222">
        <v>46258.0</v>
      </c>
    </row>
    <row r="235">
      <c r="A235" s="229" t="s">
        <v>46</v>
      </c>
      <c r="B235" s="230">
        <v>1.0</v>
      </c>
      <c r="C235" s="222">
        <v>46258.0</v>
      </c>
    </row>
    <row r="237">
      <c r="A237" s="7" t="s">
        <v>26</v>
      </c>
      <c r="B237" s="7">
        <v>9.0</v>
      </c>
      <c r="C237" s="222">
        <v>46259.0</v>
      </c>
    </row>
    <row r="238">
      <c r="A238" s="7" t="s">
        <v>49</v>
      </c>
      <c r="B238" s="7">
        <v>5.0</v>
      </c>
      <c r="C238" s="222">
        <v>46259.0</v>
      </c>
    </row>
    <row r="239">
      <c r="A239" s="7" t="s">
        <v>105</v>
      </c>
      <c r="B239" s="7">
        <v>4.0</v>
      </c>
      <c r="C239" s="222">
        <v>46259.0</v>
      </c>
    </row>
    <row r="240">
      <c r="A240" s="7" t="s">
        <v>25</v>
      </c>
      <c r="B240" s="7">
        <v>3.0</v>
      </c>
      <c r="C240" s="222">
        <v>46259.0</v>
      </c>
    </row>
    <row r="241">
      <c r="A241" s="7" t="s">
        <v>30</v>
      </c>
      <c r="B241" s="7">
        <v>3.0</v>
      </c>
      <c r="C241" s="222">
        <v>46259.0</v>
      </c>
    </row>
    <row r="242">
      <c r="A242" s="7" t="s">
        <v>32</v>
      </c>
      <c r="B242" s="7">
        <v>2.0</v>
      </c>
      <c r="C242" s="222">
        <v>46259.0</v>
      </c>
    </row>
    <row r="243">
      <c r="A243" s="7" t="s">
        <v>16</v>
      </c>
      <c r="B243" s="7">
        <v>2.0</v>
      </c>
      <c r="C243" s="222">
        <v>46259.0</v>
      </c>
    </row>
    <row r="244">
      <c r="A244" s="7" t="s">
        <v>224</v>
      </c>
      <c r="B244" s="7">
        <v>2.0</v>
      </c>
      <c r="C244" s="222">
        <v>46259.0</v>
      </c>
    </row>
    <row r="245">
      <c r="A245" s="7" t="s">
        <v>24</v>
      </c>
      <c r="B245" s="7">
        <v>2.0</v>
      </c>
      <c r="C245" s="222">
        <v>46259.0</v>
      </c>
    </row>
    <row r="246">
      <c r="A246" s="7" t="s">
        <v>37</v>
      </c>
      <c r="B246" s="7">
        <v>2.0</v>
      </c>
      <c r="C246" s="222">
        <v>46259.0</v>
      </c>
    </row>
    <row r="247">
      <c r="A247" s="7" t="s">
        <v>34</v>
      </c>
      <c r="B247" s="7">
        <v>2.0</v>
      </c>
      <c r="C247" s="222">
        <v>46259.0</v>
      </c>
    </row>
    <row r="248">
      <c r="A248" s="7" t="s">
        <v>221</v>
      </c>
      <c r="B248" s="7">
        <v>1.0</v>
      </c>
      <c r="C248" s="222">
        <v>46259.0</v>
      </c>
    </row>
    <row r="249">
      <c r="A249" s="7" t="s">
        <v>108</v>
      </c>
      <c r="B249" s="7">
        <v>1.0</v>
      </c>
      <c r="C249" s="222">
        <v>46259.0</v>
      </c>
    </row>
    <row r="250">
      <c r="A250" s="7" t="s">
        <v>52</v>
      </c>
      <c r="B250" s="7">
        <v>1.0</v>
      </c>
      <c r="C250" s="222">
        <v>46259.0</v>
      </c>
    </row>
    <row r="251">
      <c r="A251" s="7" t="s">
        <v>55</v>
      </c>
      <c r="B251" s="7">
        <v>1.0</v>
      </c>
      <c r="C251" s="222">
        <v>46259.0</v>
      </c>
    </row>
    <row r="252">
      <c r="A252" s="7" t="s">
        <v>20</v>
      </c>
      <c r="B252" s="7">
        <v>1.0</v>
      </c>
      <c r="C252" s="222">
        <v>46259.0</v>
      </c>
    </row>
    <row r="253">
      <c r="A253" s="7" t="s">
        <v>28</v>
      </c>
      <c r="B253" s="7">
        <v>1.0</v>
      </c>
      <c r="C253" s="222">
        <v>46259.0</v>
      </c>
    </row>
    <row r="254">
      <c r="A254" s="7" t="s">
        <v>225</v>
      </c>
      <c r="B254" s="7">
        <v>1.0</v>
      </c>
      <c r="C254" s="222">
        <v>46259.0</v>
      </c>
    </row>
    <row r="255">
      <c r="A255" s="7" t="s">
        <v>67</v>
      </c>
      <c r="B255" s="7">
        <v>1.0</v>
      </c>
      <c r="C255" s="222">
        <v>46259.0</v>
      </c>
    </row>
    <row r="256">
      <c r="A256" s="7" t="s">
        <v>69</v>
      </c>
      <c r="B256" s="7">
        <v>1.0</v>
      </c>
      <c r="C256" s="222">
        <v>46259.0</v>
      </c>
    </row>
    <row r="257">
      <c r="C257" s="222"/>
    </row>
    <row r="258">
      <c r="A258" s="7" t="s">
        <v>124</v>
      </c>
      <c r="B258" s="7">
        <v>5.0</v>
      </c>
      <c r="C258" s="222">
        <v>46260.0</v>
      </c>
    </row>
    <row r="259">
      <c r="A259" s="7" t="s">
        <v>18</v>
      </c>
      <c r="B259" s="7">
        <v>5.0</v>
      </c>
      <c r="C259" s="222">
        <v>46260.0</v>
      </c>
    </row>
    <row r="260">
      <c r="A260" s="7" t="s">
        <v>105</v>
      </c>
      <c r="B260" s="7">
        <v>4.0</v>
      </c>
      <c r="C260" s="222">
        <v>46260.0</v>
      </c>
    </row>
    <row r="261">
      <c r="A261" s="7" t="s">
        <v>32</v>
      </c>
      <c r="B261" s="7">
        <v>3.0</v>
      </c>
      <c r="C261" s="222">
        <v>46260.0</v>
      </c>
    </row>
    <row r="262">
      <c r="A262" s="7" t="s">
        <v>30</v>
      </c>
      <c r="B262" s="7">
        <v>3.0</v>
      </c>
      <c r="C262" s="222">
        <v>46260.0</v>
      </c>
    </row>
    <row r="263">
      <c r="A263" s="7" t="s">
        <v>25</v>
      </c>
      <c r="B263" s="7">
        <v>2.0</v>
      </c>
      <c r="C263" s="222">
        <v>46260.0</v>
      </c>
    </row>
    <row r="264">
      <c r="A264" s="7" t="s">
        <v>65</v>
      </c>
      <c r="B264" s="7">
        <v>2.0</v>
      </c>
      <c r="C264" s="222">
        <v>46260.0</v>
      </c>
    </row>
    <row r="265">
      <c r="A265" s="7" t="s">
        <v>108</v>
      </c>
      <c r="B265" s="7">
        <v>1.0</v>
      </c>
      <c r="C265" s="222">
        <v>46260.0</v>
      </c>
    </row>
    <row r="266">
      <c r="A266" s="7" t="s">
        <v>49</v>
      </c>
      <c r="B266" s="7">
        <v>1.0</v>
      </c>
      <c r="C266" s="222">
        <v>46260.0</v>
      </c>
    </row>
    <row r="267">
      <c r="A267" s="7" t="s">
        <v>52</v>
      </c>
      <c r="B267" s="7">
        <v>1.0</v>
      </c>
      <c r="C267" s="222">
        <v>46260.0</v>
      </c>
    </row>
    <row r="268">
      <c r="A268" s="7" t="s">
        <v>55</v>
      </c>
      <c r="B268" s="7">
        <v>1.0</v>
      </c>
      <c r="C268" s="222">
        <v>46260.0</v>
      </c>
    </row>
    <row r="269">
      <c r="A269" s="7" t="s">
        <v>16</v>
      </c>
      <c r="B269" s="7">
        <v>1.0</v>
      </c>
      <c r="C269" s="222">
        <v>46260.0</v>
      </c>
    </row>
    <row r="270">
      <c r="A270" s="7" t="s">
        <v>71</v>
      </c>
      <c r="B270" s="7">
        <v>1.0</v>
      </c>
      <c r="C270" s="222">
        <v>46260.0</v>
      </c>
    </row>
    <row r="271">
      <c r="A271" s="7" t="s">
        <v>14</v>
      </c>
      <c r="B271" s="7">
        <v>1.0</v>
      </c>
      <c r="C271" s="222">
        <v>46260.0</v>
      </c>
    </row>
    <row r="272">
      <c r="A272" s="7" t="s">
        <v>24</v>
      </c>
      <c r="B272" s="7">
        <v>1.0</v>
      </c>
      <c r="C272" s="222">
        <v>46260.0</v>
      </c>
    </row>
    <row r="273">
      <c r="A273" s="7" t="s">
        <v>34</v>
      </c>
      <c r="B273" s="7">
        <v>1.0</v>
      </c>
      <c r="C273" s="222">
        <v>46260.0</v>
      </c>
    </row>
    <row r="274">
      <c r="A274" s="7" t="s">
        <v>62</v>
      </c>
      <c r="B274" s="7">
        <v>1.0</v>
      </c>
      <c r="C274" s="222">
        <v>46260.0</v>
      </c>
    </row>
    <row r="275">
      <c r="A275" s="7" t="s">
        <v>58</v>
      </c>
      <c r="B275" s="7">
        <v>1.0</v>
      </c>
      <c r="C275" s="222">
        <v>46260.0</v>
      </c>
    </row>
    <row r="277">
      <c r="A277" s="7" t="s">
        <v>32</v>
      </c>
      <c r="B277" s="7">
        <v>6.0</v>
      </c>
      <c r="C277" s="222">
        <v>46261.0</v>
      </c>
    </row>
    <row r="278">
      <c r="A278" s="7" t="s">
        <v>16</v>
      </c>
      <c r="B278" s="7">
        <v>4.0</v>
      </c>
      <c r="C278" s="222">
        <v>46261.0</v>
      </c>
    </row>
    <row r="279">
      <c r="A279" s="7" t="s">
        <v>25</v>
      </c>
      <c r="B279" s="7">
        <v>3.0</v>
      </c>
      <c r="C279" s="222">
        <v>46261.0</v>
      </c>
    </row>
    <row r="280">
      <c r="A280" s="7" t="s">
        <v>43</v>
      </c>
      <c r="B280" s="7">
        <v>3.0</v>
      </c>
      <c r="C280" s="222">
        <v>46261.0</v>
      </c>
    </row>
    <row r="281">
      <c r="A281" s="7" t="s">
        <v>18</v>
      </c>
      <c r="B281" s="7">
        <v>3.0</v>
      </c>
      <c r="C281" s="222">
        <v>46261.0</v>
      </c>
    </row>
    <row r="282">
      <c r="A282" s="7" t="s">
        <v>73</v>
      </c>
      <c r="B282" s="7">
        <v>2.0</v>
      </c>
      <c r="C282" s="222">
        <v>46261.0</v>
      </c>
    </row>
    <row r="283">
      <c r="A283" s="7" t="s">
        <v>52</v>
      </c>
      <c r="B283" s="7">
        <v>2.0</v>
      </c>
      <c r="C283" s="222">
        <v>46261.0</v>
      </c>
    </row>
    <row r="284">
      <c r="A284" s="7" t="s">
        <v>124</v>
      </c>
      <c r="B284" s="7">
        <v>2.0</v>
      </c>
      <c r="C284" s="222">
        <v>46261.0</v>
      </c>
    </row>
    <row r="285">
      <c r="A285" s="7" t="s">
        <v>26</v>
      </c>
      <c r="B285" s="7">
        <v>2.0</v>
      </c>
      <c r="C285" s="222">
        <v>46261.0</v>
      </c>
    </row>
    <row r="286">
      <c r="A286" s="7" t="s">
        <v>21</v>
      </c>
      <c r="B286" s="7">
        <v>2.0</v>
      </c>
      <c r="C286" s="222">
        <v>46261.0</v>
      </c>
    </row>
    <row r="287">
      <c r="A287" s="7" t="s">
        <v>224</v>
      </c>
      <c r="B287" s="7">
        <v>2.0</v>
      </c>
      <c r="C287" s="222">
        <v>46261.0</v>
      </c>
    </row>
    <row r="288">
      <c r="A288" s="7" t="s">
        <v>71</v>
      </c>
      <c r="B288" s="7">
        <v>2.0</v>
      </c>
      <c r="C288" s="222">
        <v>46261.0</v>
      </c>
    </row>
    <row r="289">
      <c r="A289" s="7" t="s">
        <v>14</v>
      </c>
      <c r="B289" s="7">
        <v>2.0</v>
      </c>
      <c r="C289" s="222">
        <v>46261.0</v>
      </c>
    </row>
    <row r="290">
      <c r="A290" s="7" t="s">
        <v>105</v>
      </c>
      <c r="B290" s="7">
        <v>2.0</v>
      </c>
      <c r="C290" s="222">
        <v>46261.0</v>
      </c>
    </row>
    <row r="291">
      <c r="A291" s="7" t="s">
        <v>65</v>
      </c>
      <c r="B291" s="7">
        <v>2.0</v>
      </c>
      <c r="C291" s="222">
        <v>46261.0</v>
      </c>
    </row>
    <row r="292">
      <c r="A292" s="7" t="s">
        <v>222</v>
      </c>
      <c r="B292" s="7">
        <v>1.0</v>
      </c>
      <c r="C292" s="222">
        <v>46261.0</v>
      </c>
    </row>
    <row r="293">
      <c r="A293" s="7" t="s">
        <v>108</v>
      </c>
      <c r="B293" s="7">
        <v>1.0</v>
      </c>
      <c r="C293" s="222">
        <v>46261.0</v>
      </c>
    </row>
    <row r="294">
      <c r="A294" s="7" t="s">
        <v>55</v>
      </c>
      <c r="B294" s="7">
        <v>1.0</v>
      </c>
      <c r="C294" s="222">
        <v>46261.0</v>
      </c>
    </row>
    <row r="295">
      <c r="A295" s="7" t="s">
        <v>20</v>
      </c>
      <c r="B295" s="7">
        <v>1.0</v>
      </c>
      <c r="C295" s="222">
        <v>46261.0</v>
      </c>
    </row>
    <row r="296">
      <c r="A296" s="7" t="s">
        <v>28</v>
      </c>
      <c r="B296" s="7">
        <v>1.0</v>
      </c>
      <c r="C296" s="222">
        <v>46261.0</v>
      </c>
    </row>
    <row r="297">
      <c r="A297" s="7" t="s">
        <v>225</v>
      </c>
      <c r="B297" s="7">
        <v>1.0</v>
      </c>
      <c r="C297" s="222">
        <v>46261.0</v>
      </c>
    </row>
    <row r="298">
      <c r="A298" s="7" t="s">
        <v>37</v>
      </c>
      <c r="B298" s="7">
        <v>1.0</v>
      </c>
      <c r="C298" s="222">
        <v>46261.0</v>
      </c>
    </row>
    <row r="299">
      <c r="A299" s="7" t="s">
        <v>69</v>
      </c>
      <c r="B299" s="7">
        <v>1.0</v>
      </c>
      <c r="C299" s="222">
        <v>46261.0</v>
      </c>
    </row>
    <row r="300">
      <c r="C300" s="222"/>
    </row>
    <row r="301">
      <c r="A301" s="7" t="s">
        <v>105</v>
      </c>
      <c r="B301" s="7">
        <v>12.0</v>
      </c>
      <c r="C301" s="222">
        <v>46262.0</v>
      </c>
    </row>
    <row r="302">
      <c r="A302" s="7" t="s">
        <v>34</v>
      </c>
      <c r="B302" s="7">
        <v>12.0</v>
      </c>
      <c r="C302" s="222">
        <v>46262.0</v>
      </c>
    </row>
    <row r="303">
      <c r="A303" s="7" t="s">
        <v>25</v>
      </c>
      <c r="B303" s="7">
        <v>4.0</v>
      </c>
      <c r="C303" s="222">
        <v>46262.0</v>
      </c>
    </row>
    <row r="304">
      <c r="A304" s="7" t="s">
        <v>49</v>
      </c>
      <c r="B304" s="7">
        <v>4.0</v>
      </c>
      <c r="C304" s="222">
        <v>46262.0</v>
      </c>
    </row>
    <row r="305">
      <c r="A305" s="7" t="s">
        <v>18</v>
      </c>
      <c r="B305" s="7">
        <v>4.0</v>
      </c>
      <c r="C305" s="222">
        <v>46262.0</v>
      </c>
    </row>
    <row r="306">
      <c r="A306" s="7" t="s">
        <v>30</v>
      </c>
      <c r="B306" s="7">
        <v>4.0</v>
      </c>
      <c r="C306" s="222">
        <v>46262.0</v>
      </c>
    </row>
    <row r="307">
      <c r="A307" s="7" t="s">
        <v>26</v>
      </c>
      <c r="B307" s="7">
        <v>3.0</v>
      </c>
      <c r="C307" s="222">
        <v>46262.0</v>
      </c>
    </row>
    <row r="308">
      <c r="A308" s="7" t="s">
        <v>32</v>
      </c>
      <c r="B308" s="7">
        <v>2.0</v>
      </c>
      <c r="C308" s="222">
        <v>46262.0</v>
      </c>
    </row>
    <row r="309">
      <c r="A309" s="7" t="s">
        <v>108</v>
      </c>
      <c r="B309" s="7">
        <v>2.0</v>
      </c>
      <c r="C309" s="222">
        <v>46262.0</v>
      </c>
    </row>
    <row r="310">
      <c r="A310" s="7" t="s">
        <v>20</v>
      </c>
      <c r="B310" s="7">
        <v>2.0</v>
      </c>
      <c r="C310" s="222">
        <v>46262.0</v>
      </c>
    </row>
    <row r="311">
      <c r="A311" s="7" t="s">
        <v>225</v>
      </c>
      <c r="B311" s="7">
        <v>2.0</v>
      </c>
      <c r="C311" s="222">
        <v>46262.0</v>
      </c>
    </row>
    <row r="312">
      <c r="A312" s="7" t="s">
        <v>16</v>
      </c>
      <c r="B312" s="7">
        <v>2.0</v>
      </c>
      <c r="C312" s="222">
        <v>46262.0</v>
      </c>
    </row>
    <row r="313">
      <c r="A313" s="7" t="s">
        <v>224</v>
      </c>
      <c r="B313" s="7">
        <v>2.0</v>
      </c>
      <c r="C313" s="222">
        <v>46262.0</v>
      </c>
    </row>
    <row r="314">
      <c r="A314" s="7" t="s">
        <v>221</v>
      </c>
      <c r="B314" s="7">
        <v>1.0</v>
      </c>
      <c r="C314" s="222">
        <v>46262.0</v>
      </c>
    </row>
    <row r="315">
      <c r="A315" s="7" t="s">
        <v>222</v>
      </c>
      <c r="B315" s="7">
        <v>1.0</v>
      </c>
      <c r="C315" s="222">
        <v>46262.0</v>
      </c>
    </row>
    <row r="316">
      <c r="A316" s="7" t="s">
        <v>43</v>
      </c>
      <c r="B316" s="7">
        <v>1.0</v>
      </c>
      <c r="C316" s="222">
        <v>46262.0</v>
      </c>
    </row>
    <row r="317">
      <c r="A317" s="7" t="s">
        <v>21</v>
      </c>
      <c r="B317" s="7">
        <v>1.0</v>
      </c>
      <c r="C317" s="222">
        <v>46262.0</v>
      </c>
    </row>
    <row r="318">
      <c r="A318" s="7" t="s">
        <v>14</v>
      </c>
      <c r="B318" s="7">
        <v>1.0</v>
      </c>
      <c r="C318" s="222">
        <v>46262.0</v>
      </c>
    </row>
    <row r="319">
      <c r="A319" s="7" t="s">
        <v>64</v>
      </c>
      <c r="B319" s="7">
        <v>1.0</v>
      </c>
      <c r="C319" s="222">
        <v>46262.0</v>
      </c>
    </row>
    <row r="320">
      <c r="A320" s="7" t="s">
        <v>24</v>
      </c>
      <c r="B320" s="7">
        <v>1.0</v>
      </c>
      <c r="C320" s="222">
        <v>46262.0</v>
      </c>
    </row>
    <row r="321">
      <c r="A321" s="7" t="s">
        <v>65</v>
      </c>
      <c r="B321" s="7">
        <v>1.0</v>
      </c>
      <c r="C321" s="222">
        <v>46262.0</v>
      </c>
    </row>
    <row r="322">
      <c r="A322" s="7" t="s">
        <v>67</v>
      </c>
      <c r="B322" s="7">
        <v>1.0</v>
      </c>
      <c r="C322" s="222">
        <v>46262.0</v>
      </c>
    </row>
    <row r="323">
      <c r="A323" s="7" t="s">
        <v>69</v>
      </c>
      <c r="B323" s="7">
        <v>1.0</v>
      </c>
      <c r="C323" s="222">
        <v>46262.0</v>
      </c>
    </row>
    <row r="324">
      <c r="A324" s="7" t="s">
        <v>58</v>
      </c>
      <c r="B324" s="7">
        <v>1.0</v>
      </c>
      <c r="C324" s="222">
        <v>46262.0</v>
      </c>
    </row>
    <row r="326">
      <c r="A326" s="231" t="s">
        <v>14</v>
      </c>
      <c r="B326" s="232">
        <v>18.0</v>
      </c>
      <c r="C326" s="222">
        <v>46263.0</v>
      </c>
    </row>
    <row r="327">
      <c r="A327" s="229" t="s">
        <v>26</v>
      </c>
      <c r="B327" s="230">
        <v>10.0</v>
      </c>
      <c r="C327" s="222">
        <v>46263.0</v>
      </c>
    </row>
    <row r="328">
      <c r="A328" s="229" t="s">
        <v>18</v>
      </c>
      <c r="B328" s="230">
        <v>8.0</v>
      </c>
      <c r="C328" s="222">
        <v>46263.0</v>
      </c>
    </row>
    <row r="329">
      <c r="A329" s="229" t="s">
        <v>20</v>
      </c>
      <c r="B329" s="230">
        <v>5.0</v>
      </c>
      <c r="C329" s="222">
        <v>46263.0</v>
      </c>
    </row>
    <row r="330">
      <c r="A330" s="229" t="s">
        <v>224</v>
      </c>
      <c r="B330" s="230">
        <v>5.0</v>
      </c>
      <c r="C330" s="222">
        <v>46263.0</v>
      </c>
    </row>
    <row r="331">
      <c r="A331" s="229" t="s">
        <v>105</v>
      </c>
      <c r="B331" s="230">
        <v>5.0</v>
      </c>
      <c r="C331" s="222">
        <v>46263.0</v>
      </c>
    </row>
    <row r="332">
      <c r="A332" s="229" t="s">
        <v>32</v>
      </c>
      <c r="B332" s="230">
        <v>4.0</v>
      </c>
      <c r="C332" s="222">
        <v>46263.0</v>
      </c>
    </row>
    <row r="333">
      <c r="A333" s="229" t="s">
        <v>16</v>
      </c>
      <c r="B333" s="230">
        <v>4.0</v>
      </c>
      <c r="C333" s="222">
        <v>46263.0</v>
      </c>
    </row>
    <row r="334">
      <c r="A334" s="229" t="s">
        <v>25</v>
      </c>
      <c r="B334" s="230">
        <v>3.0</v>
      </c>
      <c r="C334" s="222">
        <v>46263.0</v>
      </c>
    </row>
    <row r="335">
      <c r="A335" s="229" t="s">
        <v>108</v>
      </c>
      <c r="B335" s="230">
        <v>3.0</v>
      </c>
      <c r="C335" s="222">
        <v>46263.0</v>
      </c>
    </row>
    <row r="336">
      <c r="A336" s="229" t="s">
        <v>49</v>
      </c>
      <c r="B336" s="230">
        <v>3.0</v>
      </c>
      <c r="C336" s="222">
        <v>46263.0</v>
      </c>
    </row>
    <row r="337">
      <c r="A337" s="229" t="s">
        <v>21</v>
      </c>
      <c r="B337" s="230">
        <v>3.0</v>
      </c>
      <c r="C337" s="222">
        <v>46263.0</v>
      </c>
    </row>
    <row r="338">
      <c r="A338" s="229" t="s">
        <v>37</v>
      </c>
      <c r="B338" s="230">
        <v>3.0</v>
      </c>
      <c r="C338" s="222">
        <v>46263.0</v>
      </c>
    </row>
    <row r="339">
      <c r="A339" s="229" t="s">
        <v>30</v>
      </c>
      <c r="B339" s="230">
        <v>3.0</v>
      </c>
      <c r="C339" s="222">
        <v>46263.0</v>
      </c>
    </row>
    <row r="340">
      <c r="A340" s="229" t="s">
        <v>222</v>
      </c>
      <c r="B340" s="230">
        <v>2.0</v>
      </c>
      <c r="C340" s="222">
        <v>46263.0</v>
      </c>
    </row>
    <row r="341">
      <c r="A341" s="229" t="s">
        <v>55</v>
      </c>
      <c r="B341" s="230">
        <v>2.0</v>
      </c>
      <c r="C341" s="222">
        <v>46263.0</v>
      </c>
    </row>
    <row r="342">
      <c r="A342" s="229" t="s">
        <v>28</v>
      </c>
      <c r="B342" s="230">
        <v>2.0</v>
      </c>
      <c r="C342" s="222">
        <v>46263.0</v>
      </c>
    </row>
    <row r="343">
      <c r="A343" s="229" t="s">
        <v>225</v>
      </c>
      <c r="B343" s="230">
        <v>2.0</v>
      </c>
      <c r="C343" s="222">
        <v>46263.0</v>
      </c>
    </row>
    <row r="344">
      <c r="A344" s="229" t="s">
        <v>73</v>
      </c>
      <c r="B344" s="230">
        <v>1.0</v>
      </c>
      <c r="C344" s="222">
        <v>46263.0</v>
      </c>
    </row>
    <row r="345">
      <c r="A345" s="229" t="s">
        <v>124</v>
      </c>
      <c r="B345" s="230">
        <v>1.0</v>
      </c>
      <c r="C345" s="222">
        <v>46263.0</v>
      </c>
    </row>
    <row r="346">
      <c r="A346" s="229" t="s">
        <v>43</v>
      </c>
      <c r="B346" s="230">
        <v>1.0</v>
      </c>
      <c r="C346" s="222">
        <v>46263.0</v>
      </c>
    </row>
    <row r="347">
      <c r="A347" s="229" t="s">
        <v>71</v>
      </c>
      <c r="B347" s="230">
        <v>1.0</v>
      </c>
      <c r="C347" s="222">
        <v>46263.0</v>
      </c>
    </row>
    <row r="348">
      <c r="A348" s="229" t="s">
        <v>34</v>
      </c>
      <c r="B348" s="230">
        <v>1.0</v>
      </c>
      <c r="C348" s="222">
        <v>46263.0</v>
      </c>
    </row>
    <row r="349">
      <c r="A349" s="229" t="s">
        <v>67</v>
      </c>
      <c r="B349" s="230">
        <v>1.0</v>
      </c>
      <c r="C349" s="222">
        <v>46263.0</v>
      </c>
    </row>
    <row r="350">
      <c r="A350" s="229" t="s">
        <v>46</v>
      </c>
      <c r="B350" s="230">
        <v>1.0</v>
      </c>
      <c r="C350" s="222">
        <v>46263.0</v>
      </c>
    </row>
    <row r="352">
      <c r="A352" s="7" t="s">
        <v>49</v>
      </c>
      <c r="B352" s="7">
        <v>7.0</v>
      </c>
      <c r="C352" s="222">
        <v>46264.0</v>
      </c>
    </row>
    <row r="353">
      <c r="A353" s="7" t="s">
        <v>18</v>
      </c>
      <c r="B353" s="7">
        <v>7.0</v>
      </c>
      <c r="C353" s="222">
        <v>46264.0</v>
      </c>
    </row>
    <row r="354">
      <c r="A354" s="7" t="s">
        <v>16</v>
      </c>
      <c r="B354" s="7">
        <v>4.0</v>
      </c>
      <c r="C354" s="222">
        <v>46264.0</v>
      </c>
    </row>
    <row r="355">
      <c r="A355" s="7" t="s">
        <v>224</v>
      </c>
      <c r="B355" s="7">
        <v>4.0</v>
      </c>
      <c r="C355" s="222">
        <v>46264.0</v>
      </c>
    </row>
    <row r="356">
      <c r="A356" s="7" t="s">
        <v>21</v>
      </c>
      <c r="B356" s="7">
        <v>3.0</v>
      </c>
      <c r="C356" s="222">
        <v>46264.0</v>
      </c>
    </row>
    <row r="357">
      <c r="A357" s="7" t="s">
        <v>14</v>
      </c>
      <c r="B357" s="7">
        <v>3.0</v>
      </c>
      <c r="C357" s="222">
        <v>46264.0</v>
      </c>
    </row>
    <row r="358">
      <c r="A358" s="7" t="s">
        <v>32</v>
      </c>
      <c r="B358" s="7">
        <v>2.0</v>
      </c>
      <c r="C358" s="222">
        <v>46264.0</v>
      </c>
    </row>
    <row r="359">
      <c r="A359" s="7" t="s">
        <v>25</v>
      </c>
      <c r="B359" s="7">
        <v>2.0</v>
      </c>
      <c r="C359" s="222">
        <v>46264.0</v>
      </c>
    </row>
    <row r="360">
      <c r="A360" s="7" t="s">
        <v>222</v>
      </c>
      <c r="B360" s="7">
        <v>2.0</v>
      </c>
      <c r="C360" s="222">
        <v>46264.0</v>
      </c>
    </row>
    <row r="361">
      <c r="A361" s="7" t="s">
        <v>26</v>
      </c>
      <c r="B361" s="7">
        <v>2.0</v>
      </c>
      <c r="C361" s="222">
        <v>46264.0</v>
      </c>
    </row>
    <row r="362">
      <c r="A362" s="7" t="s">
        <v>69</v>
      </c>
      <c r="B362" s="7">
        <v>2.0</v>
      </c>
      <c r="C362" s="222">
        <v>46264.0</v>
      </c>
    </row>
    <row r="363">
      <c r="A363" s="7" t="s">
        <v>108</v>
      </c>
      <c r="B363" s="7">
        <v>1.0</v>
      </c>
      <c r="C363" s="222">
        <v>46264.0</v>
      </c>
    </row>
    <row r="364">
      <c r="A364" s="7" t="s">
        <v>73</v>
      </c>
      <c r="B364" s="7">
        <v>1.0</v>
      </c>
      <c r="C364" s="222">
        <v>46264.0</v>
      </c>
    </row>
    <row r="365">
      <c r="A365" s="7" t="s">
        <v>52</v>
      </c>
      <c r="B365" s="7">
        <v>1.0</v>
      </c>
      <c r="C365" s="222">
        <v>46264.0</v>
      </c>
    </row>
    <row r="366">
      <c r="A366" s="7" t="s">
        <v>124</v>
      </c>
      <c r="B366" s="7">
        <v>1.0</v>
      </c>
      <c r="C366" s="222">
        <v>46264.0</v>
      </c>
    </row>
    <row r="367">
      <c r="A367" s="7" t="s">
        <v>43</v>
      </c>
      <c r="B367" s="7">
        <v>1.0</v>
      </c>
      <c r="C367" s="222">
        <v>46264.0</v>
      </c>
    </row>
    <row r="368">
      <c r="A368" s="7" t="s">
        <v>20</v>
      </c>
      <c r="B368" s="7">
        <v>1.0</v>
      </c>
      <c r="C368" s="222">
        <v>46264.0</v>
      </c>
    </row>
    <row r="369">
      <c r="A369" s="7" t="s">
        <v>71</v>
      </c>
      <c r="B369" s="7">
        <v>1.0</v>
      </c>
      <c r="C369" s="222">
        <v>46264.0</v>
      </c>
    </row>
    <row r="370">
      <c r="A370" s="7" t="s">
        <v>24</v>
      </c>
      <c r="B370" s="7">
        <v>1.0</v>
      </c>
      <c r="C370" s="222">
        <v>46264.0</v>
      </c>
    </row>
    <row r="371">
      <c r="A371" s="7" t="s">
        <v>105</v>
      </c>
      <c r="B371" s="7">
        <v>1.0</v>
      </c>
      <c r="C371" s="222">
        <v>46264.0</v>
      </c>
    </row>
    <row r="372">
      <c r="A372" s="7" t="s">
        <v>34</v>
      </c>
      <c r="B372" s="7">
        <v>1.0</v>
      </c>
      <c r="C372" s="222">
        <v>46264.0</v>
      </c>
    </row>
    <row r="373">
      <c r="A373" s="7" t="s">
        <v>65</v>
      </c>
      <c r="B373" s="7">
        <v>1.0</v>
      </c>
      <c r="C373" s="222">
        <v>46264.0</v>
      </c>
    </row>
    <row r="375">
      <c r="A375" s="7" t="s">
        <v>20</v>
      </c>
      <c r="B375" s="7">
        <v>7.0</v>
      </c>
      <c r="C375" s="222">
        <v>46265.0</v>
      </c>
    </row>
    <row r="376">
      <c r="A376" s="7" t="s">
        <v>224</v>
      </c>
      <c r="B376" s="7">
        <v>7.0</v>
      </c>
      <c r="C376" s="222">
        <v>46265.0</v>
      </c>
    </row>
    <row r="377">
      <c r="A377" s="7" t="s">
        <v>32</v>
      </c>
      <c r="B377" s="7">
        <v>4.0</v>
      </c>
      <c r="C377" s="222">
        <v>46265.0</v>
      </c>
    </row>
    <row r="378">
      <c r="A378" s="7" t="s">
        <v>18</v>
      </c>
      <c r="B378" s="7">
        <v>4.0</v>
      </c>
      <c r="C378" s="222">
        <v>46265.0</v>
      </c>
    </row>
    <row r="379">
      <c r="A379" s="7" t="s">
        <v>225</v>
      </c>
      <c r="B379" s="7">
        <v>4.0</v>
      </c>
      <c r="C379" s="222">
        <v>46265.0</v>
      </c>
    </row>
    <row r="380">
      <c r="A380" s="7" t="s">
        <v>16</v>
      </c>
      <c r="B380" s="7">
        <v>4.0</v>
      </c>
      <c r="C380" s="222">
        <v>46265.0</v>
      </c>
    </row>
    <row r="381">
      <c r="A381" s="7" t="s">
        <v>55</v>
      </c>
      <c r="B381" s="7">
        <v>3.0</v>
      </c>
      <c r="C381" s="222">
        <v>46265.0</v>
      </c>
    </row>
    <row r="382">
      <c r="A382" s="7" t="s">
        <v>105</v>
      </c>
      <c r="B382" s="7">
        <v>3.0</v>
      </c>
      <c r="C382" s="222">
        <v>46265.0</v>
      </c>
    </row>
    <row r="383">
      <c r="A383" s="7" t="s">
        <v>34</v>
      </c>
      <c r="B383" s="7">
        <v>3.0</v>
      </c>
      <c r="C383" s="222">
        <v>46265.0</v>
      </c>
    </row>
    <row r="384">
      <c r="A384" s="7" t="s">
        <v>222</v>
      </c>
      <c r="B384" s="7">
        <v>2.0</v>
      </c>
      <c r="C384" s="222">
        <v>46265.0</v>
      </c>
    </row>
    <row r="385">
      <c r="A385" s="7" t="s">
        <v>226</v>
      </c>
      <c r="B385" s="7">
        <v>2.0</v>
      </c>
      <c r="C385" s="222">
        <v>46265.0</v>
      </c>
    </row>
    <row r="386">
      <c r="A386" s="7" t="s">
        <v>21</v>
      </c>
      <c r="B386" s="7">
        <v>2.0</v>
      </c>
      <c r="C386" s="222">
        <v>46265.0</v>
      </c>
    </row>
    <row r="387">
      <c r="A387" s="7" t="s">
        <v>24</v>
      </c>
      <c r="B387" s="7">
        <v>2.0</v>
      </c>
      <c r="C387" s="222">
        <v>46265.0</v>
      </c>
    </row>
    <row r="388">
      <c r="A388" s="7" t="s">
        <v>69</v>
      </c>
      <c r="B388" s="7">
        <v>2.0</v>
      </c>
      <c r="C388" s="222">
        <v>46265.0</v>
      </c>
    </row>
    <row r="389">
      <c r="A389" s="7" t="s">
        <v>25</v>
      </c>
      <c r="B389" s="7">
        <v>1.0</v>
      </c>
      <c r="C389" s="222">
        <v>46265.0</v>
      </c>
    </row>
    <row r="390">
      <c r="A390" s="7" t="s">
        <v>49</v>
      </c>
      <c r="B390" s="7">
        <v>1.0</v>
      </c>
      <c r="C390" s="222">
        <v>46265.0</v>
      </c>
    </row>
    <row r="391">
      <c r="A391" s="7" t="s">
        <v>52</v>
      </c>
      <c r="B391" s="7">
        <v>1.0</v>
      </c>
      <c r="C391" s="222">
        <v>46265.0</v>
      </c>
    </row>
    <row r="392">
      <c r="A392" s="7" t="s">
        <v>124</v>
      </c>
      <c r="B392" s="7">
        <v>1.0</v>
      </c>
      <c r="C392" s="222">
        <v>46265.0</v>
      </c>
    </row>
    <row r="393">
      <c r="A393" s="7" t="s">
        <v>26</v>
      </c>
      <c r="B393" s="7">
        <v>1.0</v>
      </c>
      <c r="C393" s="222">
        <v>46265.0</v>
      </c>
    </row>
    <row r="394">
      <c r="A394" s="7" t="s">
        <v>71</v>
      </c>
      <c r="B394" s="7">
        <v>1.0</v>
      </c>
      <c r="C394" s="222">
        <v>46265.0</v>
      </c>
    </row>
    <row r="395">
      <c r="A395" s="7" t="s">
        <v>37</v>
      </c>
      <c r="B395" s="7">
        <v>1.0</v>
      </c>
      <c r="C395" s="222">
        <v>46265.0</v>
      </c>
    </row>
    <row r="396">
      <c r="A396" s="7" t="s">
        <v>228</v>
      </c>
      <c r="B396" s="7">
        <v>1.0</v>
      </c>
      <c r="C396" s="222">
        <v>46265.0</v>
      </c>
    </row>
    <row r="397">
      <c r="A397" s="7" t="s">
        <v>58</v>
      </c>
      <c r="B397" s="7">
        <v>1.0</v>
      </c>
      <c r="C397" s="222">
        <v>46265.0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3.88"/>
    <col customWidth="1" min="2" max="2" width="16.38"/>
    <col customWidth="1" min="3" max="4" width="14.5"/>
    <col customWidth="1" min="5" max="8" width="17.63"/>
    <col customWidth="1" min="9" max="9" width="15.75"/>
    <col customWidth="1" min="10" max="10" width="17.0"/>
    <col customWidth="1" min="11" max="11" width="18.25"/>
    <col customWidth="1" min="12" max="12" width="40.13"/>
  </cols>
  <sheetData>
    <row r="1" ht="15.0" customHeight="1"/>
    <row r="2" ht="22.5" customHeight="1">
      <c r="B2" s="264" t="s">
        <v>313</v>
      </c>
      <c r="D2" s="266" t="s">
        <v>314</v>
      </c>
      <c r="E2" s="268"/>
      <c r="F2" s="269" t="s">
        <v>316</v>
      </c>
      <c r="G2" s="270"/>
      <c r="H2" s="271" t="s">
        <v>318</v>
      </c>
      <c r="I2" s="272"/>
    </row>
    <row r="3" ht="28.5" customHeight="1">
      <c r="B3" s="274" t="s">
        <v>319</v>
      </c>
      <c r="D3" s="275">
        <f>SUM(E7:E50)</f>
        <v>47933000</v>
      </c>
      <c r="E3" s="276"/>
      <c r="F3" s="278">
        <f>SUM(F7:F50)</f>
        <v>26051300</v>
      </c>
      <c r="G3" s="280"/>
      <c r="H3" s="282">
        <f>SUM(H7:H50)</f>
        <v>8707064</v>
      </c>
      <c r="I3" s="284"/>
    </row>
    <row r="4" ht="18.0" customHeight="1">
      <c r="B4" s="285" t="s">
        <v>324</v>
      </c>
      <c r="C4" s="286" t="str">
        <f>COUNTA(B7:B50)&amp;" Periode"</f>
        <v>2 Periode</v>
      </c>
      <c r="D4" s="288" t="s">
        <v>326</v>
      </c>
      <c r="E4" s="290"/>
      <c r="F4" s="292" t="s">
        <v>327</v>
      </c>
      <c r="G4" s="293"/>
      <c r="H4" s="294" t="s">
        <v>329</v>
      </c>
      <c r="I4" s="296"/>
    </row>
    <row r="5" ht="15.0" customHeight="1"/>
    <row r="6" ht="25.5" customHeight="1">
      <c r="B6" s="297" t="s">
        <v>330</v>
      </c>
      <c r="C6" s="298" t="s">
        <v>300</v>
      </c>
      <c r="D6" s="298" t="s">
        <v>301</v>
      </c>
      <c r="E6" s="300" t="s">
        <v>172</v>
      </c>
      <c r="F6" s="300" t="s">
        <v>2</v>
      </c>
      <c r="G6" s="300" t="s">
        <v>273</v>
      </c>
      <c r="H6" s="300" t="s">
        <v>298</v>
      </c>
      <c r="I6" s="298" t="s">
        <v>331</v>
      </c>
      <c r="J6" s="298" t="s">
        <v>332</v>
      </c>
      <c r="K6" s="301" t="s">
        <v>333</v>
      </c>
      <c r="L6" s="303" t="s">
        <v>334</v>
      </c>
    </row>
    <row r="7" ht="24.0" customHeight="1">
      <c r="B7" s="304">
        <v>46235.0</v>
      </c>
      <c r="C7" s="305">
        <v>46241.0</v>
      </c>
      <c r="D7" s="305">
        <v>46272.0</v>
      </c>
      <c r="E7" s="307">
        <v>4.7933E7</v>
      </c>
      <c r="F7" s="307">
        <v>2.60513E7</v>
      </c>
      <c r="G7" s="307">
        <v>1.3174636E7</v>
      </c>
      <c r="H7" s="310">
        <f t="shared" ref="H7:H8" si="1">E7-F7-G7</f>
        <v>8707064</v>
      </c>
      <c r="I7" s="311" t="s">
        <v>336</v>
      </c>
      <c r="J7" s="305">
        <v>46272.0</v>
      </c>
      <c r="K7" s="312" t="s">
        <v>338</v>
      </c>
      <c r="L7" s="313" t="s">
        <v>339</v>
      </c>
    </row>
    <row r="8">
      <c r="B8" s="304">
        <f>DATE(2026, 9, 1)</f>
        <v>46266</v>
      </c>
      <c r="C8" s="305">
        <v>46272.0</v>
      </c>
      <c r="D8" s="305">
        <v>46302.0</v>
      </c>
      <c r="E8" s="307">
        <v>0.0</v>
      </c>
      <c r="F8" s="307">
        <v>0.0</v>
      </c>
      <c r="G8" s="307">
        <v>0.0</v>
      </c>
      <c r="H8" s="310">
        <f t="shared" si="1"/>
        <v>0</v>
      </c>
      <c r="I8" s="311" t="s">
        <v>344</v>
      </c>
      <c r="J8" s="311" t="s">
        <v>345</v>
      </c>
      <c r="K8" s="312" t="s">
        <v>338</v>
      </c>
      <c r="L8" s="313" t="s">
        <v>346</v>
      </c>
    </row>
    <row r="9">
      <c r="C9" s="17"/>
      <c r="D9" s="17"/>
      <c r="E9" s="318"/>
      <c r="F9" s="318"/>
      <c r="G9" s="318"/>
      <c r="H9" s="318"/>
      <c r="I9" s="18"/>
      <c r="J9" s="17"/>
    </row>
    <row r="10">
      <c r="C10" s="17"/>
      <c r="D10" s="17"/>
      <c r="E10" s="318"/>
      <c r="F10" s="318"/>
      <c r="G10" s="318"/>
      <c r="H10" s="318"/>
      <c r="I10" s="18"/>
      <c r="J10" s="17"/>
    </row>
    <row r="11">
      <c r="C11" s="17"/>
      <c r="D11" s="17"/>
      <c r="E11" s="318"/>
      <c r="F11" s="318"/>
      <c r="G11" s="318"/>
      <c r="H11" s="318"/>
      <c r="I11" s="18"/>
      <c r="J11" s="17"/>
    </row>
    <row r="12">
      <c r="C12" s="17"/>
      <c r="D12" s="17"/>
      <c r="E12" s="318"/>
      <c r="F12" s="318"/>
      <c r="G12" s="318"/>
      <c r="H12" s="318"/>
      <c r="I12" s="18"/>
      <c r="J12" s="17"/>
    </row>
    <row r="13">
      <c r="C13" s="17"/>
      <c r="D13" s="17"/>
      <c r="E13" s="318"/>
      <c r="F13" s="318"/>
      <c r="G13" s="318"/>
      <c r="H13" s="318"/>
      <c r="I13" s="18"/>
      <c r="J13" s="17"/>
    </row>
    <row r="14">
      <c r="C14" s="17"/>
      <c r="D14" s="17"/>
      <c r="E14" s="318"/>
      <c r="F14" s="318"/>
      <c r="G14" s="318"/>
      <c r="H14" s="318"/>
      <c r="I14" s="18"/>
      <c r="J14" s="17"/>
    </row>
    <row r="15">
      <c r="C15" s="17"/>
      <c r="D15" s="17"/>
      <c r="E15" s="318"/>
      <c r="F15" s="318"/>
      <c r="G15" s="318"/>
      <c r="H15" s="318"/>
      <c r="I15" s="18"/>
      <c r="J15" s="17"/>
    </row>
    <row r="16">
      <c r="C16" s="17"/>
      <c r="D16" s="17"/>
      <c r="E16" s="318"/>
      <c r="F16" s="318"/>
      <c r="G16" s="318"/>
      <c r="H16" s="318"/>
      <c r="I16" s="18"/>
      <c r="J16" s="17"/>
    </row>
    <row r="17">
      <c r="C17" s="17"/>
      <c r="D17" s="17"/>
      <c r="E17" s="318"/>
      <c r="F17" s="318"/>
      <c r="G17" s="318"/>
      <c r="H17" s="318"/>
      <c r="I17" s="18"/>
      <c r="J17" s="17"/>
    </row>
    <row r="18">
      <c r="C18" s="17"/>
      <c r="D18" s="17"/>
      <c r="E18" s="318"/>
      <c r="F18" s="318"/>
      <c r="G18" s="318"/>
      <c r="H18" s="318"/>
      <c r="I18" s="18"/>
      <c r="J18" s="17"/>
    </row>
    <row r="19">
      <c r="C19" s="17"/>
      <c r="D19" s="17"/>
      <c r="E19" s="318"/>
      <c r="F19" s="318"/>
      <c r="G19" s="318"/>
      <c r="H19" s="318"/>
      <c r="I19" s="18"/>
      <c r="J19" s="17"/>
    </row>
    <row r="20">
      <c r="C20" s="17"/>
      <c r="D20" s="17"/>
      <c r="E20" s="318"/>
      <c r="F20" s="318"/>
      <c r="G20" s="318"/>
      <c r="H20" s="318"/>
      <c r="I20" s="18"/>
      <c r="J20" s="17"/>
    </row>
    <row r="21">
      <c r="C21" s="17"/>
      <c r="D21" s="17"/>
      <c r="E21" s="318"/>
      <c r="F21" s="318"/>
      <c r="G21" s="318"/>
      <c r="H21" s="318"/>
      <c r="I21" s="18"/>
      <c r="J21" s="17"/>
    </row>
    <row r="22">
      <c r="C22" s="17"/>
      <c r="D22" s="17"/>
      <c r="E22" s="318"/>
      <c r="F22" s="318"/>
      <c r="G22" s="318"/>
      <c r="H22" s="318"/>
      <c r="I22" s="18"/>
      <c r="J22" s="17"/>
    </row>
    <row r="23">
      <c r="C23" s="17"/>
      <c r="D23" s="17"/>
      <c r="E23" s="318"/>
      <c r="F23" s="318"/>
      <c r="G23" s="318"/>
      <c r="H23" s="318"/>
      <c r="I23" s="18"/>
      <c r="J23" s="17"/>
    </row>
    <row r="24">
      <c r="C24" s="17"/>
      <c r="D24" s="17"/>
      <c r="E24" s="318"/>
      <c r="F24" s="318"/>
      <c r="G24" s="318"/>
      <c r="H24" s="318"/>
      <c r="I24" s="18"/>
      <c r="J24" s="17"/>
    </row>
    <row r="25">
      <c r="C25" s="17"/>
      <c r="D25" s="17"/>
      <c r="E25" s="318"/>
      <c r="F25" s="318"/>
      <c r="G25" s="318"/>
      <c r="H25" s="318"/>
      <c r="I25" s="18"/>
      <c r="J25" s="17"/>
    </row>
    <row r="26">
      <c r="C26" s="17"/>
      <c r="D26" s="17"/>
      <c r="E26" s="318"/>
      <c r="F26" s="318"/>
      <c r="G26" s="318"/>
      <c r="H26" s="318"/>
      <c r="I26" s="18"/>
      <c r="J26" s="17"/>
    </row>
    <row r="27">
      <c r="C27" s="17"/>
      <c r="D27" s="17"/>
      <c r="E27" s="318"/>
      <c r="F27" s="318"/>
      <c r="G27" s="318"/>
      <c r="H27" s="318"/>
      <c r="I27" s="18"/>
      <c r="J27" s="17"/>
    </row>
    <row r="28">
      <c r="C28" s="17"/>
      <c r="D28" s="17"/>
      <c r="E28" s="318"/>
      <c r="F28" s="318"/>
      <c r="G28" s="318"/>
      <c r="H28" s="318"/>
      <c r="I28" s="18"/>
      <c r="J28" s="17"/>
    </row>
    <row r="29">
      <c r="C29" s="17"/>
      <c r="D29" s="17"/>
      <c r="E29" s="318"/>
      <c r="F29" s="318"/>
      <c r="G29" s="318"/>
      <c r="H29" s="318"/>
      <c r="I29" s="18"/>
      <c r="J29" s="17"/>
    </row>
    <row r="30">
      <c r="C30" s="17"/>
      <c r="D30" s="17"/>
      <c r="E30" s="318"/>
      <c r="F30" s="318"/>
      <c r="G30" s="318"/>
      <c r="H30" s="318"/>
      <c r="I30" s="18"/>
      <c r="J30" s="17"/>
    </row>
    <row r="31">
      <c r="C31" s="17"/>
      <c r="D31" s="17"/>
      <c r="E31" s="318"/>
      <c r="F31" s="318"/>
      <c r="G31" s="318"/>
      <c r="H31" s="318"/>
      <c r="I31" s="18"/>
      <c r="J31" s="17"/>
    </row>
    <row r="32">
      <c r="C32" s="17"/>
      <c r="D32" s="17"/>
      <c r="E32" s="318"/>
      <c r="F32" s="318"/>
      <c r="G32" s="318"/>
      <c r="H32" s="318"/>
      <c r="I32" s="18"/>
      <c r="J32" s="17"/>
    </row>
    <row r="33">
      <c r="C33" s="17"/>
      <c r="D33" s="17"/>
      <c r="E33" s="318"/>
      <c r="F33" s="318"/>
      <c r="G33" s="318"/>
      <c r="H33" s="318"/>
      <c r="I33" s="18"/>
      <c r="J33" s="17"/>
    </row>
    <row r="34">
      <c r="C34" s="17"/>
      <c r="D34" s="17"/>
      <c r="E34" s="318"/>
      <c r="F34" s="318"/>
      <c r="G34" s="318"/>
      <c r="H34" s="318"/>
      <c r="I34" s="18"/>
      <c r="J34" s="17"/>
    </row>
    <row r="35">
      <c r="C35" s="17"/>
      <c r="D35" s="17"/>
      <c r="E35" s="318"/>
      <c r="F35" s="318"/>
      <c r="G35" s="318"/>
      <c r="H35" s="318"/>
      <c r="I35" s="18"/>
      <c r="J35" s="17"/>
    </row>
    <row r="36">
      <c r="C36" s="17"/>
      <c r="D36" s="17"/>
      <c r="E36" s="318"/>
      <c r="F36" s="318"/>
      <c r="G36" s="318"/>
      <c r="H36" s="318"/>
      <c r="I36" s="18"/>
      <c r="J36" s="17"/>
    </row>
    <row r="37">
      <c r="C37" s="17"/>
      <c r="D37" s="17"/>
      <c r="E37" s="318"/>
      <c r="F37" s="318"/>
      <c r="G37" s="318"/>
      <c r="H37" s="318"/>
      <c r="I37" s="18"/>
      <c r="J37" s="17"/>
    </row>
    <row r="38">
      <c r="C38" s="17"/>
      <c r="D38" s="17"/>
      <c r="E38" s="318"/>
      <c r="F38" s="318"/>
      <c r="G38" s="318"/>
      <c r="H38" s="318"/>
      <c r="I38" s="18"/>
      <c r="J38" s="17"/>
    </row>
    <row r="39">
      <c r="C39" s="17"/>
      <c r="D39" s="17"/>
      <c r="E39" s="318"/>
      <c r="F39" s="318"/>
      <c r="G39" s="318"/>
      <c r="H39" s="318"/>
      <c r="I39" s="18"/>
      <c r="J39" s="17"/>
    </row>
    <row r="40">
      <c r="C40" s="17"/>
      <c r="D40" s="17"/>
      <c r="E40" s="318"/>
      <c r="F40" s="318"/>
      <c r="G40" s="318"/>
      <c r="H40" s="318"/>
      <c r="I40" s="18"/>
      <c r="J40" s="17"/>
    </row>
    <row r="41">
      <c r="C41" s="17"/>
      <c r="D41" s="17"/>
      <c r="E41" s="318"/>
      <c r="F41" s="318"/>
      <c r="G41" s="318"/>
      <c r="H41" s="318"/>
      <c r="I41" s="18"/>
      <c r="J41" s="17"/>
    </row>
    <row r="42">
      <c r="C42" s="17"/>
      <c r="D42" s="17"/>
      <c r="E42" s="318"/>
      <c r="F42" s="318"/>
      <c r="G42" s="318"/>
      <c r="H42" s="318"/>
      <c r="I42" s="18"/>
      <c r="J42" s="17"/>
    </row>
    <row r="43">
      <c r="C43" s="17"/>
      <c r="D43" s="17"/>
      <c r="E43" s="318"/>
      <c r="F43" s="318"/>
      <c r="G43" s="318"/>
      <c r="H43" s="318"/>
      <c r="I43" s="18"/>
      <c r="J43" s="17"/>
    </row>
    <row r="44">
      <c r="C44" s="17"/>
      <c r="D44" s="17"/>
      <c r="E44" s="318"/>
      <c r="F44" s="318"/>
      <c r="G44" s="318"/>
      <c r="H44" s="318"/>
      <c r="I44" s="18"/>
      <c r="J44" s="17"/>
    </row>
    <row r="45">
      <c r="C45" s="17"/>
      <c r="D45" s="17"/>
      <c r="E45" s="318"/>
      <c r="F45" s="318"/>
      <c r="G45" s="318"/>
      <c r="H45" s="318"/>
      <c r="I45" s="18"/>
      <c r="J45" s="17"/>
    </row>
    <row r="46">
      <c r="C46" s="17"/>
      <c r="D46" s="17"/>
      <c r="E46" s="318"/>
      <c r="F46" s="318"/>
      <c r="G46" s="318"/>
      <c r="H46" s="318"/>
      <c r="I46" s="18"/>
      <c r="J46" s="17"/>
    </row>
    <row r="47">
      <c r="C47" s="17"/>
      <c r="D47" s="17"/>
      <c r="E47" s="318"/>
      <c r="F47" s="318"/>
      <c r="G47" s="318"/>
      <c r="H47" s="318"/>
      <c r="I47" s="18"/>
      <c r="J47" s="17"/>
    </row>
    <row r="48">
      <c r="C48" s="17"/>
      <c r="D48" s="17"/>
      <c r="E48" s="318"/>
      <c r="F48" s="318"/>
      <c r="G48" s="318"/>
      <c r="H48" s="318"/>
      <c r="I48" s="18"/>
      <c r="J48" s="17"/>
    </row>
    <row r="49">
      <c r="C49" s="17"/>
      <c r="D49" s="17"/>
      <c r="E49" s="318"/>
      <c r="F49" s="318"/>
      <c r="G49" s="318"/>
      <c r="H49" s="318"/>
      <c r="I49" s="18"/>
      <c r="J49" s="17"/>
    </row>
    <row r="50">
      <c r="C50" s="17"/>
      <c r="D50" s="17"/>
      <c r="E50" s="318"/>
      <c r="F50" s="318"/>
      <c r="G50" s="318"/>
      <c r="H50" s="318"/>
      <c r="I50" s="18"/>
      <c r="J50" s="17"/>
    </row>
  </sheetData>
  <mergeCells count="11">
    <mergeCell ref="D3:E3"/>
    <mergeCell ref="D4:E4"/>
    <mergeCell ref="F4:G4"/>
    <mergeCell ref="H4:I4"/>
    <mergeCell ref="B2:C2"/>
    <mergeCell ref="D2:E2"/>
    <mergeCell ref="F2:G2"/>
    <mergeCell ref="H2:I2"/>
    <mergeCell ref="B3:C3"/>
    <mergeCell ref="F3:G3"/>
    <mergeCell ref="H3:I3"/>
  </mergeCells>
  <dataValidations>
    <dataValidation type="list" allowBlank="1" sqref="I7:I50">
      <formula1>"Selesai,Dalam Proses,Draft,Ditunda"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D6638"/>
    <outlinePr summaryBelow="0" summaryRight="0"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61.88"/>
    <col customWidth="1" min="2" max="2" width="20.13"/>
    <col customWidth="1" min="3" max="3" width="11.38"/>
    <col customWidth="1" min="4" max="4" width="25.38"/>
    <col customWidth="1" min="5" max="5" width="12.75"/>
    <col customWidth="1" min="6" max="6" width="22.5"/>
    <col customWidth="1" min="7" max="7" width="11.75"/>
    <col customWidth="1" min="8" max="8" width="20.5"/>
    <col customWidth="1" min="9" max="9" width="15.0"/>
    <col customWidth="1" min="10" max="10" width="33.88"/>
  </cols>
  <sheetData>
    <row r="1">
      <c r="A1" s="322" t="s">
        <v>365</v>
      </c>
      <c r="B1" s="323"/>
      <c r="C1" s="323"/>
      <c r="D1" s="323"/>
      <c r="E1" s="323"/>
      <c r="F1" s="323"/>
      <c r="G1" s="323"/>
      <c r="H1" s="323"/>
      <c r="I1" s="323"/>
      <c r="J1" s="323"/>
    </row>
    <row r="2">
      <c r="A2" s="324" t="s">
        <v>369</v>
      </c>
      <c r="B2" s="325"/>
      <c r="C2" s="325"/>
      <c r="D2" s="325"/>
      <c r="E2" s="325"/>
      <c r="F2" s="325"/>
      <c r="G2" s="325"/>
      <c r="H2" s="325"/>
      <c r="I2" s="325"/>
      <c r="J2" s="325"/>
    </row>
    <row r="4">
      <c r="B4" s="326" t="s">
        <v>371</v>
      </c>
      <c r="D4" s="327" t="s">
        <v>373</v>
      </c>
      <c r="F4" s="328" t="s">
        <v>374</v>
      </c>
      <c r="H4" s="329" t="s">
        <v>375</v>
      </c>
      <c r="J4" s="330" t="s">
        <v>377</v>
      </c>
    </row>
    <row r="5">
      <c r="B5" s="331">
        <f>COUNTA(A9:A47)</f>
        <v>39</v>
      </c>
      <c r="D5" s="332">
        <f>AVERAGE(E9:E47)</f>
        <v>0.7305454662</v>
      </c>
      <c r="F5" s="333">
        <f>ROUND(AVERAGE(F9:F47), 0)</f>
        <v>49</v>
      </c>
      <c r="H5" s="334">
        <f>SUM(F9:F47)</f>
        <v>1892</v>
      </c>
      <c r="J5" s="335">
        <f>SUM(G9:G47)</f>
        <v>47553500</v>
      </c>
    </row>
    <row r="7">
      <c r="A7" s="7" t="s">
        <v>384</v>
      </c>
      <c r="B7" s="336" t="s">
        <v>385</v>
      </c>
      <c r="C7" s="337" t="str">
        <f>COUNTIF(I9:I47, "Star") &amp; " Menu"</f>
        <v>8 Menu</v>
      </c>
      <c r="D7" s="338" t="s">
        <v>388</v>
      </c>
      <c r="E7" s="339" t="str">
        <f>COUNTIF(I9:I47, "Workhorse") &amp; " Menu"</f>
        <v>8 Menu</v>
      </c>
      <c r="F7" s="329" t="s">
        <v>390</v>
      </c>
      <c r="G7" s="340" t="str">
        <f>COUNTIF(I9:I47, "Puzzle") &amp; " Menu"</f>
        <v>12 Menu</v>
      </c>
      <c r="H7" s="341" t="s">
        <v>391</v>
      </c>
      <c r="I7" s="342" t="str">
        <f>COUNTIF(I9:I47, "Dog") &amp; " Menu"</f>
        <v>11 Menu</v>
      </c>
    </row>
    <row r="8" ht="27.0" customHeight="1">
      <c r="A8" s="343" t="s">
        <v>9</v>
      </c>
      <c r="B8" s="344" t="s">
        <v>10</v>
      </c>
      <c r="C8" s="344" t="s">
        <v>11</v>
      </c>
      <c r="D8" s="344" t="s">
        <v>12</v>
      </c>
      <c r="E8" s="344" t="s">
        <v>392</v>
      </c>
      <c r="F8" s="344" t="s">
        <v>393</v>
      </c>
      <c r="G8" s="344" t="s">
        <v>394</v>
      </c>
      <c r="H8" s="344" t="s">
        <v>395</v>
      </c>
      <c r="I8" s="344" t="s">
        <v>396</v>
      </c>
      <c r="J8" s="345" t="s">
        <v>397</v>
      </c>
    </row>
    <row r="9">
      <c r="A9" s="346" t="str">
        <f>'Master Menu'!B5</f>
        <v>Sexy Lady</v>
      </c>
      <c r="B9" s="347">
        <f>'Master Menu'!C5</f>
        <v>25000</v>
      </c>
      <c r="C9" s="347">
        <f>IF(ISNUMBER('Master Menu'!D5), 'Master Menu'!D5, IFERROR(VALUE(SUBSTITUTE(SUBSTITUTE('Master Menu'!D5, "Rp", ""), ".", "")), 0))</f>
        <v>7100</v>
      </c>
      <c r="D9" s="347">
        <f t="shared" ref="D9:D47" si="1">B9-C9</f>
        <v>17900</v>
      </c>
      <c r="E9" s="348">
        <f t="shared" ref="E9:E47" si="2">IFERROR(D9/B9, 0)</f>
        <v>0.716</v>
      </c>
      <c r="F9" s="349">
        <f t="array" ref="F9">IFERROR(SUM(INDEX('Buku Kasir'!$C$7:$AG$45, MATCH(A9, 'Buku Kasir'!$A$7:$A$45, 0), )), 0)</f>
        <v>183</v>
      </c>
      <c r="G9" s="347">
        <f t="shared" ref="G9:G47" si="3">B9*F9</f>
        <v>4575000</v>
      </c>
      <c r="H9" s="347">
        <f t="shared" ref="H9:H47" si="4">D9*F9</f>
        <v>3275700</v>
      </c>
      <c r="I9" s="350" t="str">
        <f t="shared" ref="I9:I47" si="5">IF(E9&gt;=$D$5, IF(F9&gt;=$F$5, "Star", "Puzzle"), IF(F9&gt;=$F$5, "Workhorse", "Dog"))</f>
        <v>Workhorse</v>
      </c>
      <c r="J9" s="351" t="str">
        <f t="shared" ref="J9:J47" si="6">IF(I9="Star", "Pertahankan kualitas &amp; jadikan signature menu", IF(I9="Workhorse", "Naikkan harga bertahap / efisiensi porsi COGS", IF(I9="Puzzle", "Tingkatkan promosi, repositioning / bundling paket", "Evaluasi resep, kurangi stok, atau ganti menu")))</f>
        <v>Naikkan harga bertahap / efisiensi porsi COGS</v>
      </c>
    </row>
    <row r="10">
      <c r="A10" s="346" t="str">
        <f>'Master Menu'!B6</f>
        <v>Party Plate</v>
      </c>
      <c r="B10" s="347">
        <f>'Master Menu'!C6</f>
        <v>30000</v>
      </c>
      <c r="C10" s="347">
        <f>IF(ISNUMBER('Master Menu'!D6), 'Master Menu'!D6, IFERROR(VALUE(SUBSTITUTE(SUBSTITUTE('Master Menu'!D6, "Rp", ""), ".", "")), 0))</f>
        <v>15543</v>
      </c>
      <c r="D10" s="347">
        <f t="shared" si="1"/>
        <v>14457</v>
      </c>
      <c r="E10" s="348">
        <f t="shared" si="2"/>
        <v>0.4819</v>
      </c>
      <c r="F10" s="349">
        <f t="array" ref="F10">IFERROR(SUM(INDEX('Buku Kasir'!$C$7:$AG$45, MATCH(A10, 'Buku Kasir'!$A$7:$A$45, 0), )), 0)</f>
        <v>122</v>
      </c>
      <c r="G10" s="347">
        <f t="shared" si="3"/>
        <v>3660000</v>
      </c>
      <c r="H10" s="347">
        <f t="shared" si="4"/>
        <v>1763754</v>
      </c>
      <c r="I10" s="350" t="str">
        <f t="shared" si="5"/>
        <v>Workhorse</v>
      </c>
      <c r="J10" s="351" t="str">
        <f t="shared" si="6"/>
        <v>Naikkan harga bertahap / efisiensi porsi COGS</v>
      </c>
    </row>
    <row r="11">
      <c r="A11" s="346" t="str">
        <f>'Master Menu'!B7</f>
        <v>Latte Ice</v>
      </c>
      <c r="B11" s="347">
        <f>'Master Menu'!C7</f>
        <v>25000</v>
      </c>
      <c r="C11" s="347">
        <f>IF(ISNUMBER('Master Menu'!D7), 'Master Menu'!D7, IFERROR(VALUE(SUBSTITUTE(SUBSTITUTE('Master Menu'!D7, "Rp", ""), ".", "")), 0))</f>
        <v>7650</v>
      </c>
      <c r="D11" s="347">
        <f t="shared" si="1"/>
        <v>17350</v>
      </c>
      <c r="E11" s="348">
        <f t="shared" si="2"/>
        <v>0.694</v>
      </c>
      <c r="F11" s="349">
        <f t="array" ref="F11">IFERROR(SUM(INDEX('Buku Kasir'!$C$7:$AG$45, MATCH(A11, 'Buku Kasir'!$A$7:$A$45, 0), )), 0)</f>
        <v>137</v>
      </c>
      <c r="G11" s="347">
        <f t="shared" si="3"/>
        <v>3425000</v>
      </c>
      <c r="H11" s="347">
        <f t="shared" si="4"/>
        <v>2376950</v>
      </c>
      <c r="I11" s="350" t="str">
        <f t="shared" si="5"/>
        <v>Workhorse</v>
      </c>
      <c r="J11" s="351" t="str">
        <f t="shared" si="6"/>
        <v>Naikkan harga bertahap / efisiensi porsi COGS</v>
      </c>
    </row>
    <row r="12">
      <c r="A12" s="346" t="str">
        <f>'Master Menu'!B8</f>
        <v>Nasi Goreng Kara</v>
      </c>
      <c r="B12" s="347">
        <f>'Master Menu'!C8</f>
        <v>25000</v>
      </c>
      <c r="C12" s="347">
        <f>IF(ISNUMBER('Master Menu'!D8), 'Master Menu'!D8, IFERROR(VALUE(SUBSTITUTE(SUBSTITUTE('Master Menu'!D8, "Rp", ""), ".", "")), 0))</f>
        <v>7920</v>
      </c>
      <c r="D12" s="347">
        <f t="shared" si="1"/>
        <v>17080</v>
      </c>
      <c r="E12" s="348">
        <f t="shared" si="2"/>
        <v>0.6832</v>
      </c>
      <c r="F12" s="349">
        <f t="array" ref="F12">IFERROR(SUM(INDEX('Buku Kasir'!$C$7:$AG$45, MATCH(A12, 'Buku Kasir'!$A$7:$A$45, 0), )), 0)</f>
        <v>146</v>
      </c>
      <c r="G12" s="347">
        <f t="shared" si="3"/>
        <v>3650000</v>
      </c>
      <c r="H12" s="347">
        <f t="shared" si="4"/>
        <v>2493680</v>
      </c>
      <c r="I12" s="350" t="str">
        <f t="shared" si="5"/>
        <v>Workhorse</v>
      </c>
      <c r="J12" s="351" t="str">
        <f t="shared" si="6"/>
        <v>Naikkan harga bertahap / efisiensi porsi COGS</v>
      </c>
    </row>
    <row r="13">
      <c r="A13" s="346" t="str">
        <f>'Master Menu'!B9</f>
        <v>Mie Yabi</v>
      </c>
      <c r="B13" s="347">
        <f>'Master Menu'!C9</f>
        <v>25000</v>
      </c>
      <c r="C13" s="347">
        <f>IF(ISNUMBER('Master Menu'!D9), 'Master Menu'!D9, IFERROR(VALUE(SUBSTITUTE(SUBSTITUTE('Master Menu'!D9, "Rp", ""), ".", "")), 0))</f>
        <v>7380</v>
      </c>
      <c r="D13" s="347">
        <f t="shared" si="1"/>
        <v>17620</v>
      </c>
      <c r="E13" s="348">
        <f t="shared" si="2"/>
        <v>0.7048</v>
      </c>
      <c r="F13" s="349">
        <f t="array" ref="F13">IFERROR(SUM(INDEX('Buku Kasir'!$C$7:$AG$45, MATCH(A13, 'Buku Kasir'!$A$7:$A$45, 0), )), 0)</f>
        <v>73</v>
      </c>
      <c r="G13" s="347">
        <f t="shared" si="3"/>
        <v>1825000</v>
      </c>
      <c r="H13" s="347">
        <f t="shared" si="4"/>
        <v>1286260</v>
      </c>
      <c r="I13" s="350" t="str">
        <f t="shared" si="5"/>
        <v>Workhorse</v>
      </c>
      <c r="J13" s="351" t="str">
        <f t="shared" si="6"/>
        <v>Naikkan harga bertahap / efisiensi porsi COGS</v>
      </c>
    </row>
    <row r="14">
      <c r="A14" s="346" t="str">
        <f>'Master Menu'!B10</f>
        <v>Sour tea</v>
      </c>
      <c r="B14" s="347">
        <f>'Master Menu'!C10</f>
        <v>19000</v>
      </c>
      <c r="C14" s="347">
        <f>IF(ISNUMBER('Master Menu'!D10), 'Master Menu'!D10, IFERROR(VALUE(SUBSTITUTE(SUBSTITUTE('Master Menu'!D10, "Rp", ""), ".", "")), 0))</f>
        <v>3659</v>
      </c>
      <c r="D14" s="347">
        <f t="shared" si="1"/>
        <v>15341</v>
      </c>
      <c r="E14" s="348">
        <f t="shared" si="2"/>
        <v>0.8074210526</v>
      </c>
      <c r="F14" s="349">
        <f t="array" ref="F14">IFERROR(SUM(INDEX('Buku Kasir'!$C$7:$AG$45, MATCH(A14, 'Buku Kasir'!$A$7:$A$45, 0), )), 0)</f>
        <v>63</v>
      </c>
      <c r="G14" s="347">
        <f t="shared" si="3"/>
        <v>1197000</v>
      </c>
      <c r="H14" s="347">
        <f t="shared" si="4"/>
        <v>966483</v>
      </c>
      <c r="I14" s="350" t="str">
        <f t="shared" si="5"/>
        <v>Star</v>
      </c>
      <c r="J14" s="351" t="str">
        <f t="shared" si="6"/>
        <v>Pertahankan kualitas &amp; jadikan signature menu</v>
      </c>
    </row>
    <row r="15">
      <c r="A15" s="346" t="str">
        <f>'Master Menu'!B11</f>
        <v>americano</v>
      </c>
      <c r="B15" s="347">
        <f>'Master Menu'!C11</f>
        <v>18000</v>
      </c>
      <c r="C15" s="347">
        <f>IF(ISNUMBER('Master Menu'!D11), 'Master Menu'!D11, IFERROR(VALUE(SUBSTITUTE(SUBSTITUTE('Master Menu'!D11, "Rp", ""), ".", "")), 0))</f>
        <v>5200</v>
      </c>
      <c r="D15" s="347">
        <f t="shared" si="1"/>
        <v>12800</v>
      </c>
      <c r="E15" s="348">
        <f t="shared" si="2"/>
        <v>0.7111111111</v>
      </c>
      <c r="F15" s="349">
        <f t="array" ref="F15">IFERROR(SUM(INDEX('Buku Kasir'!$C$7:$AG$45, MATCH(A15, 'Buku Kasir'!$A$7:$A$45, 0), )), 0)</f>
        <v>91</v>
      </c>
      <c r="G15" s="347">
        <f t="shared" si="3"/>
        <v>1638000</v>
      </c>
      <c r="H15" s="347">
        <f t="shared" si="4"/>
        <v>1164800</v>
      </c>
      <c r="I15" s="350" t="str">
        <f t="shared" si="5"/>
        <v>Workhorse</v>
      </c>
      <c r="J15" s="351" t="str">
        <f t="shared" si="6"/>
        <v>Naikkan harga bertahap / efisiensi porsi COGS</v>
      </c>
    </row>
    <row r="16">
      <c r="A16" s="346" t="str">
        <f>'Master Menu'!B12</f>
        <v>Latte</v>
      </c>
      <c r="B16" s="347">
        <f>'Master Menu'!C12</f>
        <v>25000</v>
      </c>
      <c r="C16" s="347">
        <f>IF(ISNUMBER('Master Menu'!D12), 'Master Menu'!D12, IFERROR(VALUE(SUBSTITUTE(SUBSTITUTE('Master Menu'!D12, "Rp", ""), ".", "")), 0))</f>
        <v>7650</v>
      </c>
      <c r="D16" s="347">
        <f t="shared" si="1"/>
        <v>17350</v>
      </c>
      <c r="E16" s="348">
        <f t="shared" si="2"/>
        <v>0.694</v>
      </c>
      <c r="F16" s="349">
        <f t="array" ref="F16">IFERROR(SUM(INDEX('Buku Kasir'!$C$7:$AG$45, MATCH(A16, 'Buku Kasir'!$A$7:$A$45, 0), )), 0)</f>
        <v>64</v>
      </c>
      <c r="G16" s="347">
        <f t="shared" si="3"/>
        <v>1600000</v>
      </c>
      <c r="H16" s="347">
        <f t="shared" si="4"/>
        <v>1110400</v>
      </c>
      <c r="I16" s="350" t="str">
        <f t="shared" si="5"/>
        <v>Workhorse</v>
      </c>
      <c r="J16" s="351" t="str">
        <f t="shared" si="6"/>
        <v>Naikkan harga bertahap / efisiensi porsi COGS</v>
      </c>
    </row>
    <row r="17">
      <c r="A17" s="346" t="str">
        <f>'Master Menu'!B13</f>
        <v>Nastar Frappe</v>
      </c>
      <c r="B17" s="347">
        <f>'Master Menu'!C13</f>
        <v>25000</v>
      </c>
      <c r="C17" s="347">
        <f>IF(ISNUMBER('Master Menu'!D13), 'Master Menu'!D13, IFERROR(VALUE(SUBSTITUTE(SUBSTITUTE('Master Menu'!D13, "Rp", ""), ".", "")), 0))</f>
        <v>7100</v>
      </c>
      <c r="D17" s="347">
        <f t="shared" si="1"/>
        <v>17900</v>
      </c>
      <c r="E17" s="348">
        <f t="shared" si="2"/>
        <v>0.716</v>
      </c>
      <c r="F17" s="349">
        <f t="array" ref="F17">IFERROR(SUM(INDEX('Buku Kasir'!$C$7:$AG$45, MATCH(A17, 'Buku Kasir'!$A$7:$A$45, 0), )), 0)</f>
        <v>34</v>
      </c>
      <c r="G17" s="347">
        <f t="shared" si="3"/>
        <v>850000</v>
      </c>
      <c r="H17" s="347">
        <f t="shared" si="4"/>
        <v>608600</v>
      </c>
      <c r="I17" s="350" t="str">
        <f t="shared" si="5"/>
        <v>Dog</v>
      </c>
      <c r="J17" s="351" t="str">
        <f t="shared" si="6"/>
        <v>Evaluasi resep, kurangi stok, atau ganti menu</v>
      </c>
    </row>
    <row r="18">
      <c r="A18" s="346" t="str">
        <f>'Master Menu'!B14</f>
        <v>Teh puncak Jamus</v>
      </c>
      <c r="B18" s="347">
        <f>'Master Menu'!C14</f>
        <v>15000</v>
      </c>
      <c r="C18" s="347">
        <f>IF(ISNUMBER('Master Menu'!D14), 'Master Menu'!D14, IFERROR(VALUE(SUBSTITUTE(SUBSTITUTE('Master Menu'!D14, "Rp", ""), ".", "")), 0))</f>
        <v>270</v>
      </c>
      <c r="D18" s="347">
        <f t="shared" si="1"/>
        <v>14730</v>
      </c>
      <c r="E18" s="348">
        <f t="shared" si="2"/>
        <v>0.982</v>
      </c>
      <c r="F18" s="349">
        <f t="array" ref="F18">IFERROR(SUM(INDEX('Buku Kasir'!$C$7:$AG$45, MATCH(A18, 'Buku Kasir'!$A$7:$A$45, 0), )), 0)</f>
        <v>55</v>
      </c>
      <c r="G18" s="347">
        <f t="shared" si="3"/>
        <v>825000</v>
      </c>
      <c r="H18" s="347">
        <f t="shared" si="4"/>
        <v>810150</v>
      </c>
      <c r="I18" s="350" t="str">
        <f t="shared" si="5"/>
        <v>Star</v>
      </c>
      <c r="J18" s="351" t="str">
        <f t="shared" si="6"/>
        <v>Pertahankan kualitas &amp; jadikan signature menu</v>
      </c>
    </row>
    <row r="19">
      <c r="A19" s="346" t="str">
        <f>'Master Menu'!B15</f>
        <v>Air mineral besar</v>
      </c>
      <c r="B19" s="347">
        <f>'Master Menu'!C15</f>
        <v>17500</v>
      </c>
      <c r="C19" s="347">
        <f>IF(ISNUMBER('Master Menu'!D15), 'Master Menu'!D15, IFERROR(VALUE(SUBSTITUTE(SUBSTITUTE('Master Menu'!D15, "Rp", ""), ".", "")), 0))</f>
        <v>3300</v>
      </c>
      <c r="D19" s="347">
        <f t="shared" si="1"/>
        <v>14200</v>
      </c>
      <c r="E19" s="348">
        <f t="shared" si="2"/>
        <v>0.8114285714</v>
      </c>
      <c r="F19" s="349">
        <f t="array" ref="F19">IFERROR(SUM(INDEX('Buku Kasir'!$C$7:$AG$45, MATCH(A19, 'Buku Kasir'!$A$7:$A$45, 0), )), 0)</f>
        <v>129</v>
      </c>
      <c r="G19" s="347">
        <f t="shared" si="3"/>
        <v>2257500</v>
      </c>
      <c r="H19" s="347">
        <f t="shared" si="4"/>
        <v>1831800</v>
      </c>
      <c r="I19" s="350" t="str">
        <f t="shared" si="5"/>
        <v>Star</v>
      </c>
      <c r="J19" s="351" t="str">
        <f t="shared" si="6"/>
        <v>Pertahankan kualitas &amp; jadikan signature menu</v>
      </c>
    </row>
    <row r="20">
      <c r="A20" s="346" t="str">
        <f>'Master Menu'!B16</f>
        <v>Teh Belanda</v>
      </c>
      <c r="B20" s="347">
        <f>'Master Menu'!C16</f>
        <v>13500</v>
      </c>
      <c r="C20" s="347">
        <f>IF(ISNUMBER('Master Menu'!D16), 'Master Menu'!D16, IFERROR(VALUE(SUBSTITUTE(SUBSTITUTE('Master Menu'!D16, "Rp", ""), ".", "")), 0))</f>
        <v>350</v>
      </c>
      <c r="D20" s="347">
        <f t="shared" si="1"/>
        <v>13150</v>
      </c>
      <c r="E20" s="348">
        <f t="shared" si="2"/>
        <v>0.9740740741</v>
      </c>
      <c r="F20" s="349">
        <f t="array" ref="F20">IFERROR(SUM(INDEX('Buku Kasir'!$C$7:$AG$45, MATCH(A20, 'Buku Kasir'!$A$7:$A$45, 0), )), 0)</f>
        <v>68</v>
      </c>
      <c r="G20" s="347">
        <f t="shared" si="3"/>
        <v>918000</v>
      </c>
      <c r="H20" s="347">
        <f t="shared" si="4"/>
        <v>894200</v>
      </c>
      <c r="I20" s="350" t="str">
        <f t="shared" si="5"/>
        <v>Star</v>
      </c>
      <c r="J20" s="351" t="str">
        <f t="shared" si="6"/>
        <v>Pertahankan kualitas &amp; jadikan signature menu</v>
      </c>
    </row>
    <row r="21">
      <c r="A21" s="346" t="str">
        <f>'Master Menu'!B17</f>
        <v>Sunny Beach</v>
      </c>
      <c r="B21" s="347">
        <f>'Master Menu'!C17</f>
        <v>25000</v>
      </c>
      <c r="C21" s="347">
        <f>IF(ISNUMBER('Master Menu'!D17), 'Master Menu'!D17, IFERROR(VALUE(SUBSTITUTE(SUBSTITUTE('Master Menu'!D17, "Rp", ""), ".", "")), 0))</f>
        <v>7100</v>
      </c>
      <c r="D21" s="347">
        <f t="shared" si="1"/>
        <v>17900</v>
      </c>
      <c r="E21" s="348">
        <f t="shared" si="2"/>
        <v>0.716</v>
      </c>
      <c r="F21" s="349">
        <f t="array" ref="F21">IFERROR(SUM(INDEX('Buku Kasir'!$C$7:$AG$45, MATCH(A21, 'Buku Kasir'!$A$7:$A$45, 0), )), 0)</f>
        <v>41</v>
      </c>
      <c r="G21" s="347">
        <f t="shared" si="3"/>
        <v>1025000</v>
      </c>
      <c r="H21" s="347">
        <f t="shared" si="4"/>
        <v>733900</v>
      </c>
      <c r="I21" s="350" t="str">
        <f t="shared" si="5"/>
        <v>Dog</v>
      </c>
      <c r="J21" s="351" t="str">
        <f t="shared" si="6"/>
        <v>Evaluasi resep, kurangi stok, atau ganti menu</v>
      </c>
    </row>
    <row r="22">
      <c r="A22" s="346" t="str">
        <f>'Master Menu'!B18</f>
        <v>Air mineral</v>
      </c>
      <c r="B22" s="347">
        <f>'Master Menu'!C18</f>
        <v>8000</v>
      </c>
      <c r="C22" s="347">
        <f>IF(ISNUMBER('Master Menu'!D18), 'Master Menu'!D18, IFERROR(VALUE(SUBSTITUTE(SUBSTITUTE('Master Menu'!D18, "Rp", ""), ".", "")), 0))</f>
        <v>2500</v>
      </c>
      <c r="D22" s="347">
        <f t="shared" si="1"/>
        <v>5500</v>
      </c>
      <c r="E22" s="348">
        <f t="shared" si="2"/>
        <v>0.6875</v>
      </c>
      <c r="F22" s="349">
        <f t="array" ref="F22">IFERROR(SUM(INDEX('Buku Kasir'!$C$7:$AG$45, MATCH(A22, 'Buku Kasir'!$A$7:$A$45, 0), )), 0)</f>
        <v>13</v>
      </c>
      <c r="G22" s="347">
        <f t="shared" si="3"/>
        <v>104000</v>
      </c>
      <c r="H22" s="347">
        <f t="shared" si="4"/>
        <v>71500</v>
      </c>
      <c r="I22" s="350" t="str">
        <f t="shared" si="5"/>
        <v>Dog</v>
      </c>
      <c r="J22" s="351" t="str">
        <f t="shared" si="6"/>
        <v>Evaluasi resep, kurangi stok, atau ganti menu</v>
      </c>
    </row>
    <row r="23">
      <c r="A23" s="346" t="str">
        <f>'Master Menu'!B19</f>
        <v>Kopi Nenek</v>
      </c>
      <c r="B23" s="347">
        <f>'Master Menu'!C19</f>
        <v>9000</v>
      </c>
      <c r="C23" s="347">
        <f>IF(ISNUMBER('Master Menu'!D19), 'Master Menu'!D19, IFERROR(VALUE(SUBSTITUTE(SUBSTITUTE('Master Menu'!D19, "Rp", ""), ".", "")), 0))</f>
        <v>2339</v>
      </c>
      <c r="D23" s="347">
        <f t="shared" si="1"/>
        <v>6661</v>
      </c>
      <c r="E23" s="348">
        <f t="shared" si="2"/>
        <v>0.7401111111</v>
      </c>
      <c r="F23" s="349">
        <f t="array" ref="F23">IFERROR(SUM(INDEX('Buku Kasir'!$C$7:$AG$45, MATCH(A23, 'Buku Kasir'!$A$7:$A$45, 0), )), 0)</f>
        <v>56</v>
      </c>
      <c r="G23" s="347">
        <f t="shared" si="3"/>
        <v>504000</v>
      </c>
      <c r="H23" s="347">
        <f t="shared" si="4"/>
        <v>373016</v>
      </c>
      <c r="I23" s="350" t="str">
        <f t="shared" si="5"/>
        <v>Star</v>
      </c>
      <c r="J23" s="351" t="str">
        <f t="shared" si="6"/>
        <v>Pertahankan kualitas &amp; jadikan signature menu</v>
      </c>
    </row>
    <row r="24">
      <c r="A24" s="346" t="str">
        <f>'Master Menu'!B20</f>
        <v>Wedang uwuh Ngawi</v>
      </c>
      <c r="B24" s="347">
        <f>'Master Menu'!C20</f>
        <v>13000</v>
      </c>
      <c r="C24" s="347">
        <f>IF(ISNUMBER('Master Menu'!D20), 'Master Menu'!D20, IFERROR(VALUE(SUBSTITUTE(SUBSTITUTE('Master Menu'!D20, "Rp", ""), ".", "")), 0))</f>
        <v>1900</v>
      </c>
      <c r="D24" s="347">
        <f t="shared" si="1"/>
        <v>11100</v>
      </c>
      <c r="E24" s="348">
        <f t="shared" si="2"/>
        <v>0.8538461538</v>
      </c>
      <c r="F24" s="349">
        <f t="array" ref="F24">IFERROR(SUM(INDEX('Buku Kasir'!$C$7:$AG$45, MATCH(A24, 'Buku Kasir'!$A$7:$A$45, 0), )), 0)</f>
        <v>20</v>
      </c>
      <c r="G24" s="347">
        <f t="shared" si="3"/>
        <v>260000</v>
      </c>
      <c r="H24" s="347">
        <f t="shared" si="4"/>
        <v>222000</v>
      </c>
      <c r="I24" s="350" t="str">
        <f t="shared" si="5"/>
        <v>Puzzle</v>
      </c>
      <c r="J24" s="351" t="str">
        <f t="shared" si="6"/>
        <v>Tingkatkan promosi, repositioning / bundling paket</v>
      </c>
    </row>
    <row r="25">
      <c r="A25" s="346" t="str">
        <f>'Master Menu'!B21</f>
        <v>Curly Fries</v>
      </c>
      <c r="B25" s="347">
        <f>'Master Menu'!C21</f>
        <v>22000</v>
      </c>
      <c r="C25" s="347">
        <f>IF(ISNUMBER('Master Menu'!D21), 'Master Menu'!D21, IFERROR(VALUE(SUBSTITUTE(SUBSTITUTE('Master Menu'!D21, "Rp", ""), ".", "")), 0))</f>
        <v>4480</v>
      </c>
      <c r="D25" s="347">
        <f t="shared" si="1"/>
        <v>17520</v>
      </c>
      <c r="E25" s="348">
        <f t="shared" si="2"/>
        <v>0.7963636364</v>
      </c>
      <c r="F25" s="349">
        <f t="array" ref="F25">IFERROR(SUM(INDEX('Buku Kasir'!$C$7:$AG$45, MATCH(A25, 'Buku Kasir'!$A$7:$A$45, 0), )), 0)</f>
        <v>78</v>
      </c>
      <c r="G25" s="347">
        <f t="shared" si="3"/>
        <v>1716000</v>
      </c>
      <c r="H25" s="347">
        <f t="shared" si="4"/>
        <v>1366560</v>
      </c>
      <c r="I25" s="350" t="str">
        <f t="shared" si="5"/>
        <v>Star</v>
      </c>
      <c r="J25" s="351" t="str">
        <f t="shared" si="6"/>
        <v>Pertahankan kualitas &amp; jadikan signature menu</v>
      </c>
    </row>
    <row r="26">
      <c r="A26" s="346" t="str">
        <f>'Master Menu'!B22</f>
        <v>Hongkong Soft Tale</v>
      </c>
      <c r="B26" s="347">
        <f>'Master Menu'!C22</f>
        <v>21000</v>
      </c>
      <c r="C26" s="347">
        <f>IF(ISNUMBER('Master Menu'!D22), 'Master Menu'!D22, IFERROR(VALUE(SUBSTITUTE(SUBSTITUTE('Master Menu'!D22, "Rp", ""), ".", "")), 0))</f>
        <v>9000</v>
      </c>
      <c r="D26" s="347">
        <f t="shared" si="1"/>
        <v>12000</v>
      </c>
      <c r="E26" s="348">
        <f t="shared" si="2"/>
        <v>0.5714285714</v>
      </c>
      <c r="F26" s="349">
        <f t="array" ref="F26">IFERROR(SUM(INDEX('Buku Kasir'!$C$7:$AG$45, MATCH(A26, 'Buku Kasir'!$A$7:$A$45, 0), )), 0)</f>
        <v>25</v>
      </c>
      <c r="G26" s="347">
        <f t="shared" si="3"/>
        <v>525000</v>
      </c>
      <c r="H26" s="347">
        <f t="shared" si="4"/>
        <v>300000</v>
      </c>
      <c r="I26" s="350" t="str">
        <f t="shared" si="5"/>
        <v>Dog</v>
      </c>
      <c r="J26" s="351" t="str">
        <f t="shared" si="6"/>
        <v>Evaluasi resep, kurangi stok, atau ganti menu</v>
      </c>
    </row>
    <row r="27">
      <c r="A27" s="346" t="str">
        <f>'Master Menu'!B23</f>
        <v>Jong Java</v>
      </c>
      <c r="B27" s="347">
        <f>'Master Menu'!C23</f>
        <v>21000</v>
      </c>
      <c r="C27" s="347">
        <f>IF(ISNUMBER('Master Menu'!D23), 'Master Menu'!D23, IFERROR(VALUE(SUBSTITUTE(SUBSTITUTE('Master Menu'!D23, "Rp", ""), ".", "")), 0))</f>
        <v>10250</v>
      </c>
      <c r="D27" s="347">
        <f t="shared" si="1"/>
        <v>10750</v>
      </c>
      <c r="E27" s="348">
        <f t="shared" si="2"/>
        <v>0.5119047619</v>
      </c>
      <c r="F27" s="349">
        <f t="array" ref="F27">IFERROR(SUM(INDEX('Buku Kasir'!$C$7:$AG$45, MATCH(A27, 'Buku Kasir'!$A$7:$A$45, 0), )), 0)</f>
        <v>31</v>
      </c>
      <c r="G27" s="347">
        <f t="shared" si="3"/>
        <v>651000</v>
      </c>
      <c r="H27" s="347">
        <f t="shared" si="4"/>
        <v>333250</v>
      </c>
      <c r="I27" s="350" t="str">
        <f t="shared" si="5"/>
        <v>Dog</v>
      </c>
      <c r="J27" s="351" t="str">
        <f t="shared" si="6"/>
        <v>Evaluasi resep, kurangi stok, atau ganti menu</v>
      </c>
    </row>
    <row r="28">
      <c r="A28" s="346" t="str">
        <f>'Master Menu'!B24</f>
        <v>Wi Hel Mina Dream</v>
      </c>
      <c r="B28" s="347">
        <f>'Master Menu'!C24</f>
        <v>28000</v>
      </c>
      <c r="C28" s="347">
        <f>IF(ISNUMBER('Master Menu'!D24), 'Master Menu'!D24, IFERROR(VALUE(SUBSTITUTE(SUBSTITUTE('Master Menu'!D24, "Rp", ""), ".", "")), 0))</f>
        <v>9755</v>
      </c>
      <c r="D28" s="347">
        <f t="shared" si="1"/>
        <v>18245</v>
      </c>
      <c r="E28" s="348">
        <f t="shared" si="2"/>
        <v>0.6516071429</v>
      </c>
      <c r="F28" s="349">
        <f t="array" ref="F28">IFERROR(SUM(INDEX('Buku Kasir'!$C$7:$AG$45, MATCH(A28, 'Buku Kasir'!$A$7:$A$45, 0), )), 0)</f>
        <v>12</v>
      </c>
      <c r="G28" s="347">
        <f t="shared" si="3"/>
        <v>336000</v>
      </c>
      <c r="H28" s="347">
        <f t="shared" si="4"/>
        <v>218940</v>
      </c>
      <c r="I28" s="350" t="str">
        <f t="shared" si="5"/>
        <v>Dog</v>
      </c>
      <c r="J28" s="351" t="str">
        <f t="shared" si="6"/>
        <v>Evaluasi resep, kurangi stok, atau ganti menu</v>
      </c>
    </row>
    <row r="29">
      <c r="A29" s="346" t="str">
        <f>'Master Menu'!B25</f>
        <v>Pretty Queen</v>
      </c>
      <c r="B29" s="347">
        <f>'Master Menu'!C25</f>
        <v>24000</v>
      </c>
      <c r="C29" s="347">
        <f>IF(ISNUMBER('Master Menu'!D25), 'Master Menu'!D25, IFERROR(VALUE(SUBSTITUTE(SUBSTITUTE('Master Menu'!D25, "Rp", ""), ".", "")), 0))</f>
        <v>11000</v>
      </c>
      <c r="D29" s="347">
        <f t="shared" si="1"/>
        <v>13000</v>
      </c>
      <c r="E29" s="348">
        <f t="shared" si="2"/>
        <v>0.5416666667</v>
      </c>
      <c r="F29" s="349">
        <f t="array" ref="F29">IFERROR(SUM(INDEX('Buku Kasir'!$C$7:$AG$45, MATCH(A29, 'Buku Kasir'!$A$7:$A$45, 0), )), 0)</f>
        <v>16</v>
      </c>
      <c r="G29" s="347">
        <f t="shared" si="3"/>
        <v>384000</v>
      </c>
      <c r="H29" s="347">
        <f t="shared" si="4"/>
        <v>208000</v>
      </c>
      <c r="I29" s="350" t="str">
        <f t="shared" si="5"/>
        <v>Dog</v>
      </c>
      <c r="J29" s="351" t="str">
        <f t="shared" si="6"/>
        <v>Evaluasi resep, kurangi stok, atau ganti menu</v>
      </c>
    </row>
    <row r="30">
      <c r="A30" s="346" t="str">
        <f>'Master Menu'!B26</f>
        <v>Tela goreng</v>
      </c>
      <c r="B30" s="347">
        <f>'Master Menu'!C26</f>
        <v>13000</v>
      </c>
      <c r="C30" s="347">
        <f>IF(ISNUMBER('Master Menu'!D26), 'Master Menu'!D26, IFERROR(VALUE(SUBSTITUTE(SUBSTITUTE('Master Menu'!D26, "Rp", ""), ".", "")), 0))</f>
        <v>2873</v>
      </c>
      <c r="D30" s="347">
        <f t="shared" si="1"/>
        <v>10127</v>
      </c>
      <c r="E30" s="348">
        <f t="shared" si="2"/>
        <v>0.779</v>
      </c>
      <c r="F30" s="349">
        <f t="array" ref="F30">IFERROR(SUM(INDEX('Buku Kasir'!$C$7:$AG$45, MATCH(A30, 'Buku Kasir'!$A$7:$A$45, 0), )), 0)</f>
        <v>10</v>
      </c>
      <c r="G30" s="347">
        <f t="shared" si="3"/>
        <v>130000</v>
      </c>
      <c r="H30" s="347">
        <f t="shared" si="4"/>
        <v>101270</v>
      </c>
      <c r="I30" s="350" t="str">
        <f t="shared" si="5"/>
        <v>Puzzle</v>
      </c>
      <c r="J30" s="351" t="str">
        <f t="shared" si="6"/>
        <v>Tingkatkan promosi, repositioning / bundling paket</v>
      </c>
    </row>
    <row r="31">
      <c r="A31" s="346" t="str">
        <f>'Master Menu'!B27</f>
        <v>Singkong goreng</v>
      </c>
      <c r="B31" s="347">
        <f>'Master Menu'!C27</f>
        <v>13000</v>
      </c>
      <c r="C31" s="347">
        <f>IF(ISNUMBER('Master Menu'!D27), 'Master Menu'!D27, IFERROR(VALUE(SUBSTITUTE(SUBSTITUTE('Master Menu'!D27, "Rp", ""), ".", "")), 0))</f>
        <v>2873</v>
      </c>
      <c r="D31" s="347">
        <f t="shared" si="1"/>
        <v>10127</v>
      </c>
      <c r="E31" s="348">
        <f t="shared" si="2"/>
        <v>0.779</v>
      </c>
      <c r="F31" s="349">
        <f t="array" ref="F31">IFERROR(SUM(INDEX('Buku Kasir'!$C$7:$AG$45, MATCH(A31, 'Buku Kasir'!$A$7:$A$45, 0), )), 0)</f>
        <v>12</v>
      </c>
      <c r="G31" s="347">
        <f t="shared" si="3"/>
        <v>156000</v>
      </c>
      <c r="H31" s="347">
        <f t="shared" si="4"/>
        <v>121524</v>
      </c>
      <c r="I31" s="350" t="str">
        <f t="shared" si="5"/>
        <v>Puzzle</v>
      </c>
      <c r="J31" s="351" t="str">
        <f t="shared" si="6"/>
        <v>Tingkatkan promosi, repositioning / bundling paket</v>
      </c>
    </row>
    <row r="32">
      <c r="A32" s="346" t="str">
        <f>'Master Menu'!B28</f>
        <v>Tier 1 V60</v>
      </c>
      <c r="B32" s="347">
        <f>'Master Menu'!C28</f>
        <v>48000</v>
      </c>
      <c r="C32" s="347">
        <f>IF(ISNUMBER('Master Menu'!D28), 'Master Menu'!D28, IFERROR(VALUE(SUBSTITUTE(SUBSTITUTE('Master Menu'!D28, "Rp", ""), ".", "")), 0))</f>
        <v>9760</v>
      </c>
      <c r="D32" s="347">
        <f t="shared" si="1"/>
        <v>38240</v>
      </c>
      <c r="E32" s="348">
        <f t="shared" si="2"/>
        <v>0.7966666667</v>
      </c>
      <c r="F32" s="349">
        <f t="array" ref="F32">IFERROR(SUM(INDEX('Buku Kasir'!$C$7:$AG$45, MATCH(A32, 'Buku Kasir'!$A$7:$A$45, 0), )), 0)</f>
        <v>21</v>
      </c>
      <c r="G32" s="347">
        <f t="shared" si="3"/>
        <v>1008000</v>
      </c>
      <c r="H32" s="347">
        <f t="shared" si="4"/>
        <v>803040</v>
      </c>
      <c r="I32" s="350" t="str">
        <f t="shared" si="5"/>
        <v>Puzzle</v>
      </c>
      <c r="J32" s="351" t="str">
        <f t="shared" si="6"/>
        <v>Tingkatkan promosi, repositioning / bundling paket</v>
      </c>
    </row>
    <row r="33">
      <c r="A33" s="346" t="str">
        <f>'Master Menu'!B29</f>
        <v>Tier 2 V60</v>
      </c>
      <c r="B33" s="347">
        <f>'Master Menu'!C29</f>
        <v>68000</v>
      </c>
      <c r="C33" s="347">
        <f>IF(ISNUMBER('Master Menu'!D29), 'Master Menu'!D29, IFERROR(VALUE(SUBSTITUTE(SUBSTITUTE('Master Menu'!D29, "Rp", ""), ".", "")), 0))</f>
        <v>36960</v>
      </c>
      <c r="D33" s="347">
        <f t="shared" si="1"/>
        <v>31040</v>
      </c>
      <c r="E33" s="348">
        <f t="shared" si="2"/>
        <v>0.4564705882</v>
      </c>
      <c r="F33" s="349">
        <f t="array" ref="F33">IFERROR(SUM(INDEX('Buku Kasir'!$C$7:$AG$45, MATCH(A33, 'Buku Kasir'!$A$7:$A$45, 0), )), 0)</f>
        <v>14</v>
      </c>
      <c r="G33" s="347">
        <f t="shared" si="3"/>
        <v>952000</v>
      </c>
      <c r="H33" s="347">
        <f t="shared" si="4"/>
        <v>434560</v>
      </c>
      <c r="I33" s="350" t="str">
        <f t="shared" si="5"/>
        <v>Dog</v>
      </c>
      <c r="J33" s="351" t="str">
        <f t="shared" si="6"/>
        <v>Evaluasi resep, kurangi stok, atau ganti menu</v>
      </c>
    </row>
    <row r="34">
      <c r="A34" s="346" t="str">
        <f>'Master Menu'!B30</f>
        <v>Tier 3 V60</v>
      </c>
      <c r="B34" s="347">
        <f>'Master Menu'!C30</f>
        <v>88000</v>
      </c>
      <c r="C34" s="347">
        <f>IF(ISNUMBER('Master Menu'!D30), 'Master Menu'!D30, IFERROR(VALUE(SUBSTITUTE(SUBSTITUTE('Master Menu'!D30, "Rp", ""), ".", "")), 0))</f>
        <v>54160</v>
      </c>
      <c r="D34" s="347">
        <f t="shared" si="1"/>
        <v>33840</v>
      </c>
      <c r="E34" s="348">
        <f t="shared" si="2"/>
        <v>0.3845454545</v>
      </c>
      <c r="F34" s="349">
        <f t="array" ref="F34">IFERROR(SUM(INDEX('Buku Kasir'!$C$7:$AG$45, MATCH(A34, 'Buku Kasir'!$A$7:$A$45, 0), )), 0)</f>
        <v>38</v>
      </c>
      <c r="G34" s="347">
        <f t="shared" si="3"/>
        <v>3344000</v>
      </c>
      <c r="H34" s="347">
        <f t="shared" si="4"/>
        <v>1285920</v>
      </c>
      <c r="I34" s="350" t="str">
        <f t="shared" si="5"/>
        <v>Dog</v>
      </c>
      <c r="J34" s="351" t="str">
        <f t="shared" si="6"/>
        <v>Evaluasi resep, kurangi stok, atau ganti menu</v>
      </c>
    </row>
    <row r="35">
      <c r="A35" s="346" t="str">
        <f>'Master Menu'!B31</f>
        <v>Red Light District</v>
      </c>
      <c r="B35" s="347">
        <f>'Master Menu'!C31</f>
        <v>21000</v>
      </c>
      <c r="C35" s="347">
        <f>IF(ISNUMBER('Master Menu'!D31), 'Master Menu'!D31, IFERROR(VALUE(SUBSTITUTE(SUBSTITUTE('Master Menu'!D31, "Rp", ""), ".", "")), 0))</f>
        <v>5350</v>
      </c>
      <c r="D35" s="347">
        <f t="shared" si="1"/>
        <v>15650</v>
      </c>
      <c r="E35" s="348">
        <f t="shared" si="2"/>
        <v>0.7452380952</v>
      </c>
      <c r="F35" s="349">
        <f t="array" ref="F35">IFERROR(SUM(INDEX('Buku Kasir'!$C$7:$AG$45, MATCH(A35, 'Buku Kasir'!$A$7:$A$45, 0), )), 0)</f>
        <v>26</v>
      </c>
      <c r="G35" s="347">
        <f t="shared" si="3"/>
        <v>546000</v>
      </c>
      <c r="H35" s="347">
        <f t="shared" si="4"/>
        <v>406900</v>
      </c>
      <c r="I35" s="350" t="str">
        <f t="shared" si="5"/>
        <v>Puzzle</v>
      </c>
      <c r="J35" s="351" t="str">
        <f t="shared" si="6"/>
        <v>Tingkatkan promosi, repositioning / bundling paket</v>
      </c>
    </row>
    <row r="36">
      <c r="A36" s="346" t="str">
        <f>'Master Menu'!B32</f>
        <v>Espresso</v>
      </c>
      <c r="B36" s="347">
        <f>'Master Menu'!C32</f>
        <v>15000</v>
      </c>
      <c r="C36" s="347">
        <f>IF(ISNUMBER('Master Menu'!D32), 'Master Menu'!D32, IFERROR(VALUE(SUBSTITUTE(SUBSTITUTE('Master Menu'!D32, "Rp", ""), ".", "")), 0))</f>
        <v>3200</v>
      </c>
      <c r="D36" s="347">
        <f t="shared" si="1"/>
        <v>11800</v>
      </c>
      <c r="E36" s="348">
        <f t="shared" si="2"/>
        <v>0.7866666667</v>
      </c>
      <c r="F36" s="349">
        <f t="array" ref="F36">IFERROR(SUM(INDEX('Buku Kasir'!$C$7:$AG$45, MATCH(A36, 'Buku Kasir'!$A$7:$A$45, 0), )), 0)</f>
        <v>18</v>
      </c>
      <c r="G36" s="347">
        <f t="shared" si="3"/>
        <v>270000</v>
      </c>
      <c r="H36" s="347">
        <f t="shared" si="4"/>
        <v>212400</v>
      </c>
      <c r="I36" s="350" t="str">
        <f t="shared" si="5"/>
        <v>Puzzle</v>
      </c>
      <c r="J36" s="351" t="str">
        <f t="shared" si="6"/>
        <v>Tingkatkan promosi, repositioning / bundling paket</v>
      </c>
    </row>
    <row r="37">
      <c r="A37" s="346" t="str">
        <f>'Master Menu'!B33</f>
        <v>Chun Matcha</v>
      </c>
      <c r="B37" s="347">
        <f>'Master Menu'!C33</f>
        <v>35000</v>
      </c>
      <c r="C37" s="347">
        <f>IF(ISNUMBER('Master Menu'!D33), 'Master Menu'!D33, IFERROR(VALUE(SUBSTITUTE(SUBSTITUTE('Master Menu'!D33, "Rp", ""), ".", "")), 0))</f>
        <v>12500</v>
      </c>
      <c r="D37" s="347">
        <f t="shared" si="1"/>
        <v>22500</v>
      </c>
      <c r="E37" s="348">
        <f t="shared" si="2"/>
        <v>0.6428571429</v>
      </c>
      <c r="F37" s="349">
        <f t="array" ref="F37">IFERROR(SUM(INDEX('Buku Kasir'!$C$7:$AG$45, MATCH(A37, 'Buku Kasir'!$A$7:$A$45, 0), )), 0)</f>
        <v>30</v>
      </c>
      <c r="G37" s="347">
        <f t="shared" si="3"/>
        <v>1050000</v>
      </c>
      <c r="H37" s="347">
        <f t="shared" si="4"/>
        <v>675000</v>
      </c>
      <c r="I37" s="350" t="str">
        <f t="shared" si="5"/>
        <v>Dog</v>
      </c>
      <c r="J37" s="351" t="str">
        <f t="shared" si="6"/>
        <v>Evaluasi resep, kurangi stok, atau ganti menu</v>
      </c>
    </row>
    <row r="38">
      <c r="A38" s="346" t="str">
        <f>'Master Menu'!B34</f>
        <v>Natie Matcha</v>
      </c>
      <c r="B38" s="347">
        <f>'Master Menu'!C34</f>
        <v>38000</v>
      </c>
      <c r="C38" s="347">
        <f>IF(ISNUMBER('Master Menu'!D34), 'Master Menu'!D34, IFERROR(VALUE(SUBSTITUTE(SUBSTITUTE('Master Menu'!D34, "Rp", ""), ".", "")), 0))</f>
        <v>15000</v>
      </c>
      <c r="D38" s="347">
        <f t="shared" si="1"/>
        <v>23000</v>
      </c>
      <c r="E38" s="348">
        <f t="shared" si="2"/>
        <v>0.6052631579</v>
      </c>
      <c r="F38" s="349">
        <f t="array" ref="F38">IFERROR(SUM(INDEX('Buku Kasir'!$C$7:$AG$45, MATCH(A38, 'Buku Kasir'!$A$7:$A$45, 0), )), 0)</f>
        <v>59</v>
      </c>
      <c r="G38" s="347">
        <f t="shared" si="3"/>
        <v>2242000</v>
      </c>
      <c r="H38" s="347">
        <f t="shared" si="4"/>
        <v>1357000</v>
      </c>
      <c r="I38" s="350" t="str">
        <f t="shared" si="5"/>
        <v>Workhorse</v>
      </c>
      <c r="J38" s="351" t="str">
        <f t="shared" si="6"/>
        <v>Naikkan harga bertahap / efisiensi porsi COGS</v>
      </c>
    </row>
    <row r="39">
      <c r="A39" s="346" t="str">
        <f>'Master Menu'!B35</f>
        <v>Pure Chocolade</v>
      </c>
      <c r="B39" s="347">
        <f>'Master Menu'!C35</f>
        <v>29000</v>
      </c>
      <c r="C39" s="347">
        <f>IF(ISNUMBER('Master Menu'!D35), 'Master Menu'!D35, IFERROR(VALUE(SUBSTITUTE(SUBSTITUTE('Master Menu'!D35, "Rp", ""), ".", "")), 0))</f>
        <v>5200</v>
      </c>
      <c r="D39" s="347">
        <f t="shared" si="1"/>
        <v>23800</v>
      </c>
      <c r="E39" s="348">
        <f t="shared" si="2"/>
        <v>0.8206896552</v>
      </c>
      <c r="F39" s="349">
        <f t="array" ref="F39">IFERROR(SUM(INDEX('Buku Kasir'!$C$7:$AG$45, MATCH(A39, 'Buku Kasir'!$A$7:$A$45, 0), )), 0)</f>
        <v>82</v>
      </c>
      <c r="G39" s="347">
        <f t="shared" si="3"/>
        <v>2378000</v>
      </c>
      <c r="H39" s="347">
        <f t="shared" si="4"/>
        <v>1951600</v>
      </c>
      <c r="I39" s="350" t="str">
        <f t="shared" si="5"/>
        <v>Star</v>
      </c>
      <c r="J39" s="351" t="str">
        <f t="shared" si="6"/>
        <v>Pertahankan kualitas &amp; jadikan signature menu</v>
      </c>
    </row>
    <row r="40">
      <c r="A40" s="346" t="str">
        <f>'Master Menu'!B36</f>
        <v>Claudio (Vanilla)</v>
      </c>
      <c r="B40" s="347">
        <f>'Master Menu'!C36</f>
        <v>26000</v>
      </c>
      <c r="C40" s="347">
        <f>IF(ISNUMBER('Master Menu'!D36), 'Master Menu'!D36, IFERROR(VALUE(SUBSTITUTE(SUBSTITUTE('Master Menu'!D36, "Rp", ""), ".", "")), 0))</f>
        <v>2800</v>
      </c>
      <c r="D40" s="347">
        <f t="shared" si="1"/>
        <v>23200</v>
      </c>
      <c r="E40" s="348">
        <f t="shared" si="2"/>
        <v>0.8923076923</v>
      </c>
      <c r="F40" s="349">
        <f t="array" ref="F40">IFERROR(SUM(INDEX('Buku Kasir'!$C$7:$AG$45, MATCH(A40, 'Buku Kasir'!$A$7:$A$45, 0), )), 0)</f>
        <v>7</v>
      </c>
      <c r="G40" s="347">
        <f t="shared" si="3"/>
        <v>182000</v>
      </c>
      <c r="H40" s="347">
        <f t="shared" si="4"/>
        <v>162400</v>
      </c>
      <c r="I40" s="350" t="str">
        <f t="shared" si="5"/>
        <v>Puzzle</v>
      </c>
      <c r="J40" s="351" t="str">
        <f t="shared" si="6"/>
        <v>Tingkatkan promosi, repositioning / bundling paket</v>
      </c>
    </row>
    <row r="41">
      <c r="A41" s="346" t="str">
        <f>'Master Menu'!B37</f>
        <v>Ivada (Stroberi)</v>
      </c>
      <c r="B41" s="347">
        <f>'Master Menu'!C37</f>
        <v>26000</v>
      </c>
      <c r="C41" s="347">
        <f>IF(ISNUMBER('Master Menu'!D37), 'Master Menu'!D37, IFERROR(VALUE(SUBSTITUTE(SUBSTITUTE('Master Menu'!D37, "Rp", ""), ".", "")), 0))</f>
        <v>2800</v>
      </c>
      <c r="D41" s="347">
        <f t="shared" si="1"/>
        <v>23200</v>
      </c>
      <c r="E41" s="348">
        <f t="shared" si="2"/>
        <v>0.8923076923</v>
      </c>
      <c r="F41" s="349">
        <f t="array" ref="F41">IFERROR(SUM(INDEX('Buku Kasir'!$C$7:$AG$45, MATCH(A41, 'Buku Kasir'!$A$7:$A$45, 0), )), 0)</f>
        <v>0</v>
      </c>
      <c r="G41" s="347">
        <f t="shared" si="3"/>
        <v>0</v>
      </c>
      <c r="H41" s="347">
        <f t="shared" si="4"/>
        <v>0</v>
      </c>
      <c r="I41" s="350" t="str">
        <f t="shared" si="5"/>
        <v>Puzzle</v>
      </c>
      <c r="J41" s="351" t="str">
        <f t="shared" si="6"/>
        <v>Tingkatkan promosi, repositioning / bundling paket</v>
      </c>
    </row>
    <row r="42">
      <c r="A42" s="346" t="str">
        <f>'Master Menu'!B38</f>
        <v>Vicenzo (Coklat)</v>
      </c>
      <c r="B42" s="347">
        <f>'Master Menu'!C38</f>
        <v>26000</v>
      </c>
      <c r="C42" s="347">
        <f>IF(ISNUMBER('Master Menu'!D38), 'Master Menu'!D38, IFERROR(VALUE(SUBSTITUTE(SUBSTITUTE('Master Menu'!D38, "Rp", ""), ".", "")), 0))</f>
        <v>2800</v>
      </c>
      <c r="D42" s="347">
        <f t="shared" si="1"/>
        <v>23200</v>
      </c>
      <c r="E42" s="348">
        <f t="shared" si="2"/>
        <v>0.8923076923</v>
      </c>
      <c r="F42" s="349">
        <f t="array" ref="F42">IFERROR(SUM(INDEX('Buku Kasir'!$C$7:$AG$45, MATCH(A42, 'Buku Kasir'!$A$7:$A$45, 0), )), 0)</f>
        <v>9</v>
      </c>
      <c r="G42" s="347">
        <f t="shared" si="3"/>
        <v>234000</v>
      </c>
      <c r="H42" s="347">
        <f t="shared" si="4"/>
        <v>208800</v>
      </c>
      <c r="I42" s="350" t="str">
        <f t="shared" si="5"/>
        <v>Puzzle</v>
      </c>
      <c r="J42" s="351" t="str">
        <f t="shared" si="6"/>
        <v>Tingkatkan promosi, repositioning / bundling paket</v>
      </c>
    </row>
    <row r="43">
      <c r="A43" s="346" t="str">
        <f>'Master Menu'!B39</f>
        <v>Capri ijz (Campur)</v>
      </c>
      <c r="B43" s="347">
        <f>'Master Menu'!C39</f>
        <v>26000</v>
      </c>
      <c r="C43" s="347">
        <f>IF(ISNUMBER('Master Menu'!D39), 'Master Menu'!D39, IFERROR(VALUE(SUBSTITUTE(SUBSTITUTE('Master Menu'!D39, "Rp", ""), ".", "")), 0))</f>
        <v>2800</v>
      </c>
      <c r="D43" s="347">
        <f t="shared" si="1"/>
        <v>23200</v>
      </c>
      <c r="E43" s="348">
        <f t="shared" si="2"/>
        <v>0.8923076923</v>
      </c>
      <c r="F43" s="349">
        <f t="array" ref="F43">IFERROR(SUM(INDEX('Buku Kasir'!$C$7:$AG$45, MATCH(A43, 'Buku Kasir'!$A$7:$A$45, 0), )), 0)</f>
        <v>6</v>
      </c>
      <c r="G43" s="347">
        <f t="shared" si="3"/>
        <v>156000</v>
      </c>
      <c r="H43" s="347">
        <f t="shared" si="4"/>
        <v>139200</v>
      </c>
      <c r="I43" s="350" t="str">
        <f t="shared" si="5"/>
        <v>Puzzle</v>
      </c>
      <c r="J43" s="351" t="str">
        <f t="shared" si="6"/>
        <v>Tingkatkan promosi, repositioning / bundling paket</v>
      </c>
    </row>
    <row r="44">
      <c r="A44" s="346" t="str">
        <f>'Master Menu'!B40</f>
        <v>Sweety hazy</v>
      </c>
      <c r="B44" s="347">
        <f>'Master Menu'!C40</f>
        <v>29000</v>
      </c>
      <c r="C44" s="347">
        <f>IF(ISNUMBER('Master Menu'!D40), 'Master Menu'!D40, IFERROR(VALUE(SUBSTITUTE(SUBSTITUTE('Master Menu'!D40, "Rp", ""), ".", "")), 0))</f>
        <v>4790</v>
      </c>
      <c r="D44" s="347">
        <f t="shared" si="1"/>
        <v>24210</v>
      </c>
      <c r="E44" s="348">
        <f t="shared" si="2"/>
        <v>0.8348275862</v>
      </c>
      <c r="F44" s="349">
        <f t="array" ref="F44">IFERROR(SUM(INDEX('Buku Kasir'!$C$7:$AG$45, MATCH(A44, 'Buku Kasir'!$A$7:$A$45, 0), )), 0)</f>
        <v>51</v>
      </c>
      <c r="G44" s="347">
        <f t="shared" si="3"/>
        <v>1479000</v>
      </c>
      <c r="H44" s="347">
        <f t="shared" si="4"/>
        <v>1234710</v>
      </c>
      <c r="I44" s="350" t="str">
        <f t="shared" si="5"/>
        <v>Star</v>
      </c>
      <c r="J44" s="351" t="str">
        <f t="shared" si="6"/>
        <v>Pertahankan kualitas &amp; jadikan signature menu</v>
      </c>
    </row>
    <row r="45">
      <c r="A45" s="346" t="str">
        <f>'Master Menu'!B41</f>
        <v>Cikalopi</v>
      </c>
      <c r="B45" s="347">
        <f>'Master Menu'!C41</f>
        <v>33000</v>
      </c>
      <c r="C45" s="347">
        <f>IF(ISNUMBER('Master Menu'!D41), 'Master Menu'!D41, IFERROR(VALUE(SUBSTITUTE(SUBSTITUTE('Master Menu'!D41, "Rp", ""), ".", "")), 0))</f>
        <v>7335</v>
      </c>
      <c r="D45" s="347">
        <f t="shared" si="1"/>
        <v>25665</v>
      </c>
      <c r="E45" s="348">
        <f t="shared" si="2"/>
        <v>0.7777272727</v>
      </c>
      <c r="F45" s="349">
        <f t="array" ref="F45">IFERROR(SUM(INDEX('Buku Kasir'!$C$7:$AG$45, MATCH(A45, 'Buku Kasir'!$A$7:$A$45, 0), )), 0)</f>
        <v>27</v>
      </c>
      <c r="G45" s="347">
        <f t="shared" si="3"/>
        <v>891000</v>
      </c>
      <c r="H45" s="347">
        <f t="shared" si="4"/>
        <v>692955</v>
      </c>
      <c r="I45" s="350" t="str">
        <f t="shared" si="5"/>
        <v>Puzzle</v>
      </c>
      <c r="J45" s="351" t="str">
        <f t="shared" si="6"/>
        <v>Tingkatkan promosi, repositioning / bundling paket</v>
      </c>
    </row>
    <row r="46">
      <c r="A46" s="346" t="str">
        <f>'Master Menu'!B42</f>
        <v>Cappucino</v>
      </c>
      <c r="B46" s="347">
        <f>'Master Menu'!C42</f>
        <v>25000</v>
      </c>
      <c r="C46" s="347">
        <f>IF(ISNUMBER('Master Menu'!D42), 'Master Menu'!D42, IFERROR(VALUE(SUBSTITUTE(SUBSTITUTE('Master Menu'!D42, "Rp", ""), ".", "")), 0))</f>
        <v>7650</v>
      </c>
      <c r="D46" s="347">
        <f t="shared" si="1"/>
        <v>17350</v>
      </c>
      <c r="E46" s="348">
        <f t="shared" si="2"/>
        <v>0.694</v>
      </c>
      <c r="F46" s="349">
        <f t="array" ref="F46">IFERROR(SUM(INDEX('Buku Kasir'!$C$7:$AG$45, MATCH(A46, 'Buku Kasir'!$A$7:$A$45, 0), )), 0)</f>
        <v>20</v>
      </c>
      <c r="G46" s="347">
        <f t="shared" si="3"/>
        <v>500000</v>
      </c>
      <c r="H46" s="347">
        <f t="shared" si="4"/>
        <v>347000</v>
      </c>
      <c r="I46" s="350" t="str">
        <f t="shared" si="5"/>
        <v>Dog</v>
      </c>
      <c r="J46" s="351" t="str">
        <f t="shared" si="6"/>
        <v>Evaluasi resep, kurangi stok, atau ganti menu</v>
      </c>
    </row>
    <row r="47">
      <c r="A47" s="346" t="str">
        <f>'Master Menu'!B43</f>
        <v>Aubergine Crunch</v>
      </c>
      <c r="B47" s="347">
        <f>'Master Menu'!C43</f>
        <v>22000</v>
      </c>
      <c r="C47" s="347">
        <f>IF(ISNUMBER('Master Menu'!D43), 'Master Menu'!D43, IFERROR(VALUE(SUBSTITUTE(SUBSTITUTE('Master Menu'!D43, "Rp", ""), ".", "")), 0))</f>
        <v>5000</v>
      </c>
      <c r="D47" s="347">
        <f t="shared" si="1"/>
        <v>17000</v>
      </c>
      <c r="E47" s="348">
        <f t="shared" si="2"/>
        <v>0.7727272727</v>
      </c>
      <c r="F47" s="349">
        <f t="array" ref="F47">IFERROR(SUM(INDEX('Buku Kasir'!$C$7:$AG$45, MATCH(A47, 'Buku Kasir'!$A$7:$A$45, 0), )), 0)</f>
        <v>5</v>
      </c>
      <c r="G47" s="347">
        <f t="shared" si="3"/>
        <v>110000</v>
      </c>
      <c r="H47" s="347">
        <f t="shared" si="4"/>
        <v>85000</v>
      </c>
      <c r="I47" s="350" t="str">
        <f t="shared" si="5"/>
        <v>Puzzle</v>
      </c>
      <c r="J47" s="351" t="str">
        <f t="shared" si="6"/>
        <v>Tingkatkan promosi, repositioning / bundling paket</v>
      </c>
    </row>
    <row r="48">
      <c r="A48" s="357" t="s">
        <v>469</v>
      </c>
      <c r="B48" s="358">
        <f t="shared" ref="B48:E48" si="7">AVERAGE(B9:B47)</f>
        <v>26025.64103</v>
      </c>
      <c r="C48" s="358">
        <f t="shared" si="7"/>
        <v>8084.538462</v>
      </c>
      <c r="D48" s="358">
        <f t="shared" si="7"/>
        <v>17941.10256</v>
      </c>
      <c r="E48" s="359">
        <f t="shared" si="7"/>
        <v>0.7305454662</v>
      </c>
      <c r="F48" s="360">
        <f t="shared" ref="F48:H48" si="8">SUM(F9:F47)</f>
        <v>1892</v>
      </c>
      <c r="G48" s="358">
        <f t="shared" si="8"/>
        <v>47553500</v>
      </c>
      <c r="H48" s="358">
        <f t="shared" si="8"/>
        <v>32629222</v>
      </c>
      <c r="I48" s="361"/>
      <c r="J48" s="362"/>
    </row>
  </sheetData>
  <mergeCells count="8">
    <mergeCell ref="B4:C4"/>
    <mergeCell ref="D4:E4"/>
    <mergeCell ref="F4:G4"/>
    <mergeCell ref="H4:I4"/>
    <mergeCell ref="B5:C5"/>
    <mergeCell ref="D5:E5"/>
    <mergeCell ref="F5:G5"/>
    <mergeCell ref="H5:I5"/>
  </mergeCells>
  <conditionalFormatting sqref="I9:I47">
    <cfRule type="cellIs" dxfId="6" priority="1" stopIfTrue="1" operator="equal">
      <formula>"Star"</formula>
    </cfRule>
  </conditionalFormatting>
  <conditionalFormatting sqref="I9:I47">
    <cfRule type="cellIs" dxfId="7" priority="2" stopIfTrue="1" operator="equal">
      <formula>"Workhorse"</formula>
    </cfRule>
  </conditionalFormatting>
  <conditionalFormatting sqref="I9:I47">
    <cfRule type="cellIs" dxfId="8" priority="3" stopIfTrue="1" operator="equal">
      <formula>"Puzzle"</formula>
    </cfRule>
  </conditionalFormatting>
  <conditionalFormatting sqref="I9:I47">
    <cfRule type="cellIs" dxfId="9" priority="4" stopIfTrue="1" operator="equal">
      <formula>"Dog"</formula>
    </cfRule>
  </conditionalFormatting>
  <drawing r:id="rId1"/>
</worksheet>
</file>